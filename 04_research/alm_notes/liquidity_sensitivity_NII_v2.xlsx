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alanceSheet" sheetId="1" state="visible" r:id="rId1"/>
    <sheet xmlns:r="http://schemas.openxmlformats.org/officeDocument/2006/relationships" name="02_BehavioralParams" sheetId="2" state="visible" r:id="rId2"/>
    <sheet xmlns:r="http://schemas.openxmlformats.org/officeDocument/2006/relationships" name="03_CashflowLadder" sheetId="3" state="visible" r:id="rId3"/>
    <sheet xmlns:r="http://schemas.openxmlformats.org/officeDocument/2006/relationships" name="04_ScenarioMatrix" sheetId="4" state="visible" r:id="rId4"/>
    <sheet xmlns:r="http://schemas.openxmlformats.org/officeDocument/2006/relationships" name="05_NIICalc" sheetId="5" state="visible" r:id="rId5"/>
    <sheet xmlns:r="http://schemas.openxmlformats.org/officeDocument/2006/relationships" name="06_Dashboard" sheetId="6" state="visible" r:id="rId6"/>
    <sheet xmlns:r="http://schemas.openxmlformats.org/officeDocument/2006/relationships" name="07_LCR_Waterf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6">
    <numFmt numFmtId="164" formatCode="#,##0;[Red]\-#,##0"/>
    <numFmt numFmtId="165" formatCode="0.000%"/>
    <numFmt numFmtId="166" formatCode="#,##0.000;[Red]\-#,##0.000"/>
    <numFmt numFmtId="167" formatCode="0.000"/>
    <numFmt numFmtId="168" formatCode="#,##0.00;[Red]\-#,##0.00"/>
    <numFmt numFmtId="169" formatCode="0.00&quot; bps&quot;"/>
    <numFmt numFmtId="170" formatCode="#,##0.0"/>
    <numFmt numFmtId="171" formatCode="0.0&quot;%&quot;"/>
    <numFmt numFmtId="172" formatCode="#,##0;[Red]-#,##0"/>
    <numFmt numFmtId="173" formatCode="0&quot;%&quot;"/>
    <numFmt numFmtId="174" formatCode="0.0&quot; pp&quot;"/>
    <numFmt numFmtId="175" formatCode="0.00x"/>
    <numFmt numFmtId="176" formatCode="0.00&quot;%&quot;"/>
    <numFmt numFmtId="177" formatCode="0.00&quot; pp&quot;"/>
    <numFmt numFmtId="178" formatCode="#,##0.000;[Red]-#,##0.000"/>
    <numFmt numFmtId="179" formatCode="#,##0.00;[Red]-#,##0.00"/>
  </numFmts>
  <fonts count="4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666666"/>
      <sz val="9"/>
    </font>
    <font>
      <name val="Calibri"/>
      <b val="1"/>
      <color rgb="002E7D32"/>
      <sz val="9"/>
    </font>
    <font>
      <name val="Calibri"/>
      <b val="1"/>
      <color rgb="00C62828"/>
      <sz val="9"/>
    </font>
    <font>
      <name val="Calibri"/>
      <b val="1"/>
      <color rgb="00283593"/>
      <sz val="9"/>
    </font>
    <font>
      <name val="Calibri"/>
      <b val="1"/>
      <color rgb="00E65100"/>
      <sz val="9"/>
    </font>
    <font>
      <name val="Calibri"/>
      <b val="1"/>
      <color rgb="00000000"/>
      <sz val="10"/>
    </font>
    <font>
      <name val="Calibri"/>
      <i val="1"/>
      <color rgb="00C62828"/>
      <sz val="9"/>
    </font>
    <font>
      <name val="Calibri"/>
      <i val="1"/>
      <color rgb="00404040"/>
      <sz val="10"/>
    </font>
    <font>
      <name val="Calibri"/>
      <i val="1"/>
      <color rgb="00FFFFFF"/>
      <sz val="8"/>
    </font>
    <font>
      <name val="Calibri"/>
      <i val="1"/>
      <color rgb="00888888"/>
      <sz val="9"/>
    </font>
    <font>
      <name val="Calibri"/>
      <color rgb="008B6914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  <font>
      <name val="Calibri"/>
      <b val="1"/>
      <color rgb="004A148C"/>
      <sz val="10"/>
    </font>
    <font>
      <name val="Calibri"/>
      <i val="1"/>
      <color rgb="009E9E9E"/>
      <sz val="9"/>
    </font>
    <font>
      <name val="Calibri"/>
      <b val="1"/>
      <color rgb="00FFFFFF"/>
      <sz val="9"/>
    </font>
    <font>
      <name val="Calibri"/>
      <color rgb="002E7D32"/>
      <sz val="10"/>
    </font>
    <font>
      <name val="Calibri"/>
      <color rgb="00999999"/>
      <sz val="9"/>
    </font>
    <font>
      <name val="Calibri"/>
      <b val="1"/>
      <color rgb="002E7D32"/>
      <sz val="12"/>
    </font>
    <font>
      <name val="Calibri"/>
      <b val="1"/>
      <color rgb="008B6914"/>
      <sz val="12"/>
    </font>
    <font>
      <name val="Calibri"/>
      <b val="1"/>
      <color rgb="00C62828"/>
      <sz val="12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i val="1"/>
      <color rgb="00404040"/>
      <sz val="9"/>
    </font>
    <font>
      <name val="Calibri"/>
      <b val="1"/>
      <color rgb="00FFFFFF"/>
      <sz val="13"/>
    </font>
    <font>
      <name val="Calibri"/>
      <i val="1"/>
      <color rgb="00004D40"/>
      <sz val="10"/>
    </font>
    <font>
      <name val="Calibri"/>
      <i val="1"/>
      <color rgb="00FFFFFF"/>
      <sz val="10"/>
    </font>
    <font>
      <name val="Calibri"/>
      <b val="1"/>
      <color rgb="00FFFFFF"/>
      <sz val="12"/>
    </font>
    <font>
      <name val="Calibri"/>
      <b val="1"/>
      <color rgb="00375623"/>
      <sz val="10"/>
    </font>
    <font>
      <name val="Calibri"/>
      <b val="1"/>
      <color rgb="00F57F17"/>
      <sz val="10"/>
    </font>
    <font>
      <name val="Calibri"/>
      <i val="1"/>
      <color rgb="00F57F17"/>
      <sz val="9"/>
    </font>
    <font>
      <name val="Calibri"/>
      <i val="1"/>
      <color rgb="00004D40"/>
      <sz val="9"/>
    </font>
    <font>
      <name val="Calibri"/>
      <b val="1"/>
      <color rgb="001B5E20"/>
      <sz val="10"/>
    </font>
    <font>
      <name val="Calibri"/>
      <color rgb="001B5E20"/>
      <sz val="10"/>
    </font>
    <font>
      <name val="Calibri"/>
      <b val="1"/>
      <color rgb="00004D40"/>
      <sz val="10"/>
    </font>
    <font>
      <name val="Calibri"/>
      <color rgb="00004D40"/>
      <sz val="10"/>
    </font>
    <font>
      <name val="Calibri"/>
      <i val="1"/>
      <color rgb="00F57F17"/>
      <sz val="10"/>
    </font>
    <font>
      <name val="Calibri"/>
      <b val="1"/>
      <color rgb="00000000"/>
      <sz val="9"/>
    </font>
    <font>
      <name val="Calibri"/>
      <color rgb="001F3864"/>
      <sz val="10"/>
    </font>
    <font>
      <name val="Calibri"/>
      <color rgb="009E9E9E"/>
      <sz val="10"/>
    </font>
  </fonts>
  <fills count="3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EAD3"/>
      </patternFill>
    </fill>
    <fill>
      <patternFill patternType="solid">
        <fgColor rgb="00DEEAF1"/>
      </patternFill>
    </fill>
    <fill>
      <patternFill patternType="solid">
        <fgColor rgb="00FCE4EC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FF4B4B"/>
      </patternFill>
    </fill>
    <fill>
      <patternFill patternType="solid">
        <fgColor rgb="00E0E0E0"/>
      </patternFill>
    </fill>
    <fill>
      <patternFill patternType="solid">
        <fgColor rgb="00375623"/>
      </patternFill>
    </fill>
    <fill>
      <patternFill patternType="solid">
        <fgColor rgb="00C62828"/>
      </patternFill>
    </fill>
    <fill>
      <patternFill patternType="solid">
        <fgColor rgb="00833C00"/>
      </patternFill>
    </fill>
    <fill>
      <patternFill patternType="solid">
        <fgColor rgb="00006064"/>
      </patternFill>
    </fill>
    <fill>
      <patternFill patternType="solid">
        <fgColor rgb="00E0F7FA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37474F"/>
      </patternFill>
    </fill>
    <fill>
      <patternFill patternType="solid">
        <fgColor rgb="004E342E"/>
      </patternFill>
    </fill>
    <fill>
      <patternFill patternType="solid">
        <fgColor rgb="004A148C"/>
      </patternFill>
    </fill>
    <fill>
      <patternFill patternType="solid">
        <fgColor rgb="00E2EFDA"/>
      </patternFill>
    </fill>
    <fill>
      <patternFill patternType="solid">
        <fgColor rgb="00FFF9C4"/>
      </patternFill>
    </fill>
    <fill>
      <patternFill patternType="solid">
        <fgColor rgb="001B5E20"/>
      </patternFill>
    </fill>
    <fill>
      <patternFill patternType="solid">
        <fgColor rgb="00004D40"/>
      </patternFill>
    </fill>
    <fill>
      <patternFill patternType="solid">
        <fgColor rgb="00F57F1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" fontId="5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9" fontId="5" fillId="6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9" fontId="12" fillId="5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15" fillId="4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right" vertical="center"/>
    </xf>
    <xf numFmtId="0" fontId="16" fillId="14" borderId="1" applyAlignment="1" pivotButton="0" quotePrefix="0" xfId="0">
      <alignment horizontal="left" vertical="center"/>
    </xf>
    <xf numFmtId="0" fontId="17" fillId="15" borderId="1" applyAlignment="1" pivotButton="0" quotePrefix="0" xfId="0">
      <alignment horizontal="left" vertical="center"/>
    </xf>
    <xf numFmtId="164" fontId="17" fillId="1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8" fillId="16" borderId="1" applyAlignment="1" pivotButton="0" quotePrefix="0" xfId="0">
      <alignment horizontal="left" vertical="center"/>
    </xf>
    <xf numFmtId="164" fontId="18" fillId="16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164" fontId="19" fillId="17" borderId="1" applyAlignment="1" pivotButton="0" quotePrefix="0" xfId="0">
      <alignment horizontal="right" vertical="center"/>
    </xf>
    <xf numFmtId="0" fontId="20" fillId="18" borderId="1" applyAlignment="1" pivotButton="0" quotePrefix="0" xfId="0">
      <alignment horizontal="left" vertical="center"/>
    </xf>
    <xf numFmtId="164" fontId="20" fillId="18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0" fontId="0" fillId="8" borderId="1" applyAlignment="1" pivotButton="0" quotePrefix="0" xfId="0">
      <alignment horizontal="right" vertical="center"/>
    </xf>
    <xf numFmtId="0" fontId="21" fillId="2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  <xf numFmtId="0" fontId="4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2" fillId="21" borderId="1" applyAlignment="1" pivotButton="0" quotePrefix="0" xfId="0">
      <alignment horizontal="center" vertical="center"/>
    </xf>
    <xf numFmtId="0" fontId="22" fillId="2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6" fontId="18" fillId="16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164" fontId="23" fillId="17" borderId="1" applyAlignment="1" pivotButton="0" quotePrefix="0" xfId="0">
      <alignment horizontal="right" vertical="center"/>
    </xf>
    <xf numFmtId="167" fontId="24" fillId="8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0" fillId="19" borderId="1" pivotButton="0" quotePrefix="0" xfId="0"/>
    <xf numFmtId="168" fontId="4" fillId="19" borderId="1" applyAlignment="1" pivotButton="0" quotePrefix="0" xfId="0">
      <alignment horizontal="center" vertical="center"/>
    </xf>
    <xf numFmtId="0" fontId="0" fillId="20" borderId="1" pivotButton="0" quotePrefix="0" xfId="0"/>
    <xf numFmtId="168" fontId="4" fillId="20" borderId="1" applyAlignment="1" pivotButton="0" quotePrefix="0" xfId="0">
      <alignment horizontal="center" vertical="center"/>
    </xf>
    <xf numFmtId="0" fontId="0" fillId="21" borderId="1" pivotButton="0" quotePrefix="0" xfId="0"/>
    <xf numFmtId="168" fontId="4" fillId="21" borderId="1" applyAlignment="1" pivotButton="0" quotePrefix="0" xfId="0">
      <alignment horizontal="center" vertical="center"/>
    </xf>
    <xf numFmtId="0" fontId="0" fillId="22" borderId="1" pivotButton="0" quotePrefix="0" xfId="0"/>
    <xf numFmtId="168" fontId="4" fillId="2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169" fontId="4" fillId="19" borderId="1" applyAlignment="1" pivotButton="0" quotePrefix="0" xfId="0">
      <alignment horizontal="center" vertical="center"/>
    </xf>
    <xf numFmtId="169" fontId="4" fillId="20" borderId="1" applyAlignment="1" pivotButton="0" quotePrefix="0" xfId="0">
      <alignment horizontal="center" vertical="center"/>
    </xf>
    <xf numFmtId="169" fontId="4" fillId="21" borderId="1" applyAlignment="1" pivotButton="0" quotePrefix="0" xfId="0">
      <alignment horizontal="center" vertical="center"/>
    </xf>
    <xf numFmtId="169" fontId="4" fillId="22" borderId="1" applyAlignment="1" pivotButton="0" quotePrefix="0" xfId="0">
      <alignment horizontal="center" vertical="center"/>
    </xf>
    <xf numFmtId="165" fontId="4" fillId="19" borderId="1" applyAlignment="1" pivotButton="0" quotePrefix="0" xfId="0">
      <alignment horizontal="center" vertical="center"/>
    </xf>
    <xf numFmtId="165" fontId="4" fillId="20" borderId="1" applyAlignment="1" pivotButton="0" quotePrefix="0" xfId="0">
      <alignment horizontal="center" vertical="center"/>
    </xf>
    <xf numFmtId="165" fontId="4" fillId="21" borderId="1" applyAlignment="1" pivotButton="0" quotePrefix="0" xfId="0">
      <alignment horizontal="center" vertical="center"/>
    </xf>
    <xf numFmtId="165" fontId="4" fillId="22" borderId="1" applyAlignment="1" pivotButton="0" quotePrefix="0" xfId="0">
      <alignment horizontal="center" vertical="center"/>
    </xf>
    <xf numFmtId="169" fontId="18" fillId="16" borderId="1" applyAlignment="1" pivotButton="0" quotePrefix="0" xfId="0">
      <alignment horizontal="center" vertical="center"/>
    </xf>
    <xf numFmtId="169" fontId="18" fillId="12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0" fontId="29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28" fillId="4" borderId="1" applyAlignment="1" pivotButton="0" quotePrefix="0" xfId="0">
      <alignment horizontal="center" vertical="center"/>
    </xf>
    <xf numFmtId="0" fontId="28" fillId="24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/>
    </xf>
    <xf numFmtId="0" fontId="19" fillId="17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170" fontId="3" fillId="19" borderId="1" applyAlignment="1" pivotButton="0" quotePrefix="0" xfId="0">
      <alignment horizontal="center" vertical="center"/>
    </xf>
    <xf numFmtId="170" fontId="3" fillId="20" borderId="1" applyAlignment="1" pivotButton="0" quotePrefix="0" xfId="0">
      <alignment horizontal="center" vertical="center"/>
    </xf>
    <xf numFmtId="170" fontId="3" fillId="21" borderId="1" applyAlignment="1" pivotButton="0" quotePrefix="0" xfId="0">
      <alignment horizontal="center" vertical="center"/>
    </xf>
    <xf numFmtId="170" fontId="3" fillId="2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169" fontId="3" fillId="19" borderId="1" applyAlignment="1" pivotButton="0" quotePrefix="0" xfId="0">
      <alignment horizontal="center" vertical="center"/>
    </xf>
    <xf numFmtId="169" fontId="3" fillId="20" borderId="1" applyAlignment="1" pivotButton="0" quotePrefix="0" xfId="0">
      <alignment horizontal="center" vertical="center"/>
    </xf>
    <xf numFmtId="169" fontId="3" fillId="21" borderId="1" applyAlignment="1" pivotButton="0" quotePrefix="0" xfId="0">
      <alignment horizontal="center" vertical="center"/>
    </xf>
    <xf numFmtId="169" fontId="3" fillId="22" borderId="1" applyAlignment="1" pivotButton="0" quotePrefix="0" xfId="0">
      <alignment horizontal="center" vertical="center"/>
    </xf>
    <xf numFmtId="165" fontId="3" fillId="19" borderId="1" applyAlignment="1" pivotButton="0" quotePrefix="0" xfId="0">
      <alignment horizontal="center" vertical="center"/>
    </xf>
    <xf numFmtId="165" fontId="3" fillId="20" borderId="1" applyAlignment="1" pivotButton="0" quotePrefix="0" xfId="0">
      <alignment horizontal="center" vertical="center"/>
    </xf>
    <xf numFmtId="165" fontId="3" fillId="21" borderId="1" applyAlignment="1" pivotButton="0" quotePrefix="0" xfId="0">
      <alignment horizontal="center" vertical="center"/>
    </xf>
    <xf numFmtId="165" fontId="3" fillId="22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31" fillId="22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9" fontId="5" fillId="6" borderId="1" applyAlignment="1" pivotButton="0" quotePrefix="0" xfId="0">
      <alignment horizontal="right" vertical="center"/>
    </xf>
    <xf numFmtId="3" fontId="12" fillId="2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0" fontId="3" fillId="27" borderId="1" applyAlignment="1" pivotButton="0" quotePrefix="0" xfId="0">
      <alignment horizontal="left" vertical="center"/>
    </xf>
    <xf numFmtId="3" fontId="3" fillId="27" borderId="1" applyAlignment="1" pivotButton="0" quotePrefix="0" xfId="0">
      <alignment horizontal="right" vertical="center"/>
    </xf>
    <xf numFmtId="0" fontId="6" fillId="27" borderId="1" applyAlignment="1" pivotButton="0" quotePrefix="0" xfId="0">
      <alignment horizontal="left" vertical="center"/>
    </xf>
    <xf numFmtId="0" fontId="3" fillId="29" borderId="1" applyAlignment="1" pivotButton="0" quotePrefix="0" xfId="0">
      <alignment horizontal="left" vertical="center"/>
    </xf>
    <xf numFmtId="3" fontId="6" fillId="28" borderId="1" applyAlignment="1" pivotButton="0" quotePrefix="0" xfId="0">
      <alignment horizontal="right" vertical="center"/>
    </xf>
    <xf numFmtId="3" fontId="3" fillId="29" borderId="1" applyAlignment="1" pivotButton="0" quotePrefix="0" xfId="0">
      <alignment horizontal="right" vertical="center"/>
    </xf>
    <xf numFmtId="0" fontId="33" fillId="29" borderId="1" applyAlignment="1" pivotButton="0" quotePrefix="0" xfId="0">
      <alignment horizontal="left" vertical="center"/>
    </xf>
    <xf numFmtId="0" fontId="3" fillId="30" borderId="1" applyAlignment="1" pivotButton="0" quotePrefix="0" xfId="0">
      <alignment horizontal="left" vertical="center"/>
    </xf>
    <xf numFmtId="3" fontId="3" fillId="30" borderId="1" applyAlignment="1" pivotButton="0" quotePrefix="0" xfId="0">
      <alignment horizontal="right" vertical="center"/>
    </xf>
    <xf numFmtId="0" fontId="33" fillId="30" borderId="1" applyAlignment="1" pivotButton="0" quotePrefix="0" xfId="0">
      <alignment horizontal="left" vertical="center"/>
    </xf>
    <xf numFmtId="0" fontId="34" fillId="27" borderId="1" applyAlignment="1" pivotButton="0" quotePrefix="0" xfId="0">
      <alignment horizontal="left" vertical="center"/>
    </xf>
    <xf numFmtId="3" fontId="31" fillId="27" borderId="1" applyAlignment="1" pivotButton="0" quotePrefix="0" xfId="0">
      <alignment horizontal="right" vertical="center"/>
    </xf>
    <xf numFmtId="0" fontId="3" fillId="2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3" fontId="12" fillId="16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3" fillId="31" borderId="1" applyAlignment="1" pivotButton="0" quotePrefix="0" xfId="0">
      <alignment horizontal="left" vertical="center"/>
    </xf>
    <xf numFmtId="3" fontId="3" fillId="31" borderId="1" applyAlignment="1" pivotButton="0" quotePrefix="0" xfId="0">
      <alignment horizontal="right" vertical="center"/>
    </xf>
    <xf numFmtId="0" fontId="6" fillId="31" borderId="1" applyAlignment="1" pivotButton="0" quotePrefix="0" xfId="0">
      <alignment horizontal="left" vertical="center"/>
    </xf>
    <xf numFmtId="0" fontId="3" fillId="32" borderId="1" applyAlignment="1" pivotButton="0" quotePrefix="0" xfId="0">
      <alignment horizontal="left" vertical="center"/>
    </xf>
    <xf numFmtId="3" fontId="3" fillId="32" borderId="1" applyAlignment="1" pivotButton="0" quotePrefix="0" xfId="0">
      <alignment horizontal="right" vertical="center"/>
    </xf>
    <xf numFmtId="0" fontId="6" fillId="32" borderId="1" applyAlignment="1" pivotButton="0" quotePrefix="0" xfId="0">
      <alignment horizontal="left" vertical="center"/>
    </xf>
    <xf numFmtId="0" fontId="3" fillId="33" borderId="1" applyAlignment="1" pivotButton="0" quotePrefix="0" xfId="0">
      <alignment horizontal="left" vertical="center"/>
    </xf>
    <xf numFmtId="3" fontId="3" fillId="33" borderId="1" applyAlignment="1" pivotButton="0" quotePrefix="0" xfId="0">
      <alignment horizontal="right" vertical="center"/>
    </xf>
    <xf numFmtId="0" fontId="6" fillId="33" borderId="1" applyAlignment="1" pivotButton="0" quotePrefix="0" xfId="0">
      <alignment horizontal="left" vertical="center"/>
    </xf>
    <xf numFmtId="0" fontId="34" fillId="25" borderId="1" applyAlignment="1" pivotButton="0" quotePrefix="0" xfId="0">
      <alignment horizontal="left" vertical="center"/>
    </xf>
    <xf numFmtId="3" fontId="31" fillId="25" borderId="1" applyAlignment="1" pivotButton="0" quotePrefix="0" xfId="0">
      <alignment horizontal="right" vertical="center"/>
    </xf>
    <xf numFmtId="0" fontId="3" fillId="25" borderId="1" applyAlignment="1" pivotButton="0" quotePrefix="0" xfId="0">
      <alignment horizontal="left" vertical="center"/>
    </xf>
    <xf numFmtId="3" fontId="35" fillId="34" borderId="1" applyAlignment="1" pivotButton="0" quotePrefix="0" xfId="0">
      <alignment horizontal="right" vertical="center"/>
    </xf>
    <xf numFmtId="0" fontId="12" fillId="34" borderId="1" applyAlignment="1" pivotButton="0" quotePrefix="0" xfId="0">
      <alignment horizontal="left" vertical="center"/>
    </xf>
    <xf numFmtId="0" fontId="36" fillId="35" borderId="1" applyAlignment="1" pivotButton="0" quotePrefix="0" xfId="0">
      <alignment horizontal="left" vertical="center"/>
    </xf>
    <xf numFmtId="3" fontId="36" fillId="35" borderId="1" applyAlignment="1" pivotButton="0" quotePrefix="0" xfId="0">
      <alignment horizontal="right" vertical="center"/>
    </xf>
    <xf numFmtId="0" fontId="37" fillId="0" borderId="1" applyAlignment="1" pivotButton="0" quotePrefix="0" xfId="0">
      <alignment horizontal="left" vertical="center"/>
    </xf>
    <xf numFmtId="0" fontId="34" fillId="24" borderId="1" applyAlignment="1" pivotButton="0" quotePrefix="0" xfId="0">
      <alignment horizontal="left" vertical="center"/>
    </xf>
    <xf numFmtId="3" fontId="31" fillId="24" borderId="1" applyAlignment="1" pivotButton="0" quotePrefix="0" xfId="0">
      <alignment horizontal="right" vertical="center"/>
    </xf>
    <xf numFmtId="0" fontId="3" fillId="24" borderId="1" applyAlignment="1" pivotButton="0" quotePrefix="0" xfId="0">
      <alignment horizontal="left" vertical="center"/>
    </xf>
    <xf numFmtId="3" fontId="1" fillId="27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/>
    </xf>
    <xf numFmtId="3" fontId="1" fillId="25" borderId="1" applyAlignment="1" pivotButton="0" quotePrefix="0" xfId="0">
      <alignment horizontal="center" vertical="center"/>
    </xf>
    <xf numFmtId="0" fontId="6" fillId="25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left" vertical="center"/>
    </xf>
    <xf numFmtId="3" fontId="1" fillId="24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left" vertical="center"/>
    </xf>
    <xf numFmtId="0" fontId="4" fillId="31" borderId="1" applyAlignment="1" pivotButton="0" quotePrefix="0" xfId="0">
      <alignment horizontal="left" vertical="center"/>
    </xf>
    <xf numFmtId="3" fontId="1" fillId="31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171" fontId="1" fillId="36" borderId="1" applyAlignment="1" pivotButton="0" quotePrefix="0" xfId="0">
      <alignment horizontal="center" vertical="center"/>
    </xf>
    <xf numFmtId="0" fontId="6" fillId="36" borderId="1" applyAlignment="1" pivotButton="0" quotePrefix="0" xfId="0">
      <alignment horizontal="left" vertical="center"/>
    </xf>
    <xf numFmtId="172" fontId="1" fillId="3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73" fontId="1" fillId="4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174" fontId="1" fillId="37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left" vertical="center"/>
    </xf>
    <xf numFmtId="0" fontId="34" fillId="36" borderId="1" applyAlignment="1" pivotButton="0" quotePrefix="0" xfId="0">
      <alignment horizontal="center" vertical="center"/>
    </xf>
    <xf numFmtId="0" fontId="28" fillId="36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left" vertical="center" wrapText="1"/>
    </xf>
    <xf numFmtId="3" fontId="39" fillId="17" borderId="1" applyAlignment="1" pivotButton="0" quotePrefix="0" xfId="0">
      <alignment horizontal="right" vertical="center"/>
    </xf>
    <xf numFmtId="172" fontId="39" fillId="17" borderId="1" applyAlignment="1" pivotButton="0" quotePrefix="0" xfId="0">
      <alignment horizontal="right" vertical="center"/>
    </xf>
    <xf numFmtId="0" fontId="39" fillId="17" borderId="1" applyAlignment="1" pivotButton="0" quotePrefix="0" xfId="0">
      <alignment horizontal="center" vertical="center"/>
    </xf>
    <xf numFmtId="172" fontId="18" fillId="16" borderId="1" applyAlignment="1" pivotButton="0" quotePrefix="0" xfId="0">
      <alignment horizontal="right" vertical="center"/>
    </xf>
    <xf numFmtId="172" fontId="31" fillId="27" borderId="1" applyAlignment="1" pivotButton="0" quotePrefix="0" xfId="0">
      <alignment horizontal="right" vertical="center"/>
    </xf>
    <xf numFmtId="0" fontId="34" fillId="2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175" fontId="5" fillId="6" borderId="1" applyAlignment="1" pivotButton="0" quotePrefix="0" xfId="0">
      <alignment horizontal="right" vertical="center"/>
    </xf>
    <xf numFmtId="3" fontId="18" fillId="16" borderId="1" applyAlignment="1" pivotButton="0" quotePrefix="0" xfId="0">
      <alignment horizontal="right" vertical="center"/>
    </xf>
    <xf numFmtId="3" fontId="40" fillId="17" borderId="1" applyAlignment="1" pivotButton="0" quotePrefix="0" xfId="0">
      <alignment horizontal="right" vertical="center"/>
    </xf>
    <xf numFmtId="171" fontId="34" fillId="19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171" fontId="34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171" fontId="34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171" fontId="34" fillId="22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0" fontId="41" fillId="28" borderId="1" applyAlignment="1" pivotButton="0" quotePrefix="0" xfId="0">
      <alignment horizontal="left" vertical="center" wrapText="1"/>
    </xf>
    <xf numFmtId="0" fontId="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3" fontId="42" fillId="2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3" fillId="27" borderId="1" applyAlignment="1" pivotButton="0" quotePrefix="0" xfId="0">
      <alignment horizontal="left" vertical="center"/>
    </xf>
    <xf numFmtId="3" fontId="3" fillId="27" borderId="1" applyAlignment="1" pivotButton="0" quotePrefix="0" xfId="0">
      <alignment horizontal="right" vertical="center"/>
    </xf>
    <xf numFmtId="0" fontId="3" fillId="29" borderId="1" applyAlignment="1" pivotButton="0" quotePrefix="0" xfId="0">
      <alignment horizontal="left" vertical="center"/>
    </xf>
    <xf numFmtId="3" fontId="3" fillId="29" borderId="1" applyAlignment="1" pivotButton="0" quotePrefix="0" xfId="0">
      <alignment horizontal="right" vertical="center"/>
    </xf>
    <xf numFmtId="0" fontId="3" fillId="30" borderId="1" applyAlignment="1" pivotButton="0" quotePrefix="0" xfId="0">
      <alignment horizontal="left" vertical="center"/>
    </xf>
    <xf numFmtId="3" fontId="3" fillId="30" borderId="1" applyAlignment="1" pivotButton="0" quotePrefix="0" xfId="0">
      <alignment horizontal="right" vertical="center"/>
    </xf>
    <xf numFmtId="0" fontId="34" fillId="27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right" vertical="center"/>
    </xf>
    <xf numFmtId="3" fontId="18" fillId="16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3" fillId="31" borderId="1" applyAlignment="1" pivotButton="0" quotePrefix="0" xfId="0">
      <alignment horizontal="left" vertical="center"/>
    </xf>
    <xf numFmtId="3" fontId="3" fillId="31" borderId="1" applyAlignment="1" pivotButton="0" quotePrefix="0" xfId="0">
      <alignment horizontal="right" vertical="center"/>
    </xf>
    <xf numFmtId="0" fontId="6" fillId="31" borderId="1" applyAlignment="1" pivotButton="0" quotePrefix="0" xfId="0">
      <alignment horizontal="left" vertical="center"/>
    </xf>
    <xf numFmtId="0" fontId="3" fillId="32" borderId="1" applyAlignment="1" pivotButton="0" quotePrefix="0" xfId="0">
      <alignment horizontal="left" vertical="center"/>
    </xf>
    <xf numFmtId="3" fontId="3" fillId="32" borderId="1" applyAlignment="1" pivotButton="0" quotePrefix="0" xfId="0">
      <alignment horizontal="right" vertical="center"/>
    </xf>
    <xf numFmtId="0" fontId="6" fillId="32" borderId="1" applyAlignment="1" pivotButton="0" quotePrefix="0" xfId="0">
      <alignment horizontal="left" vertical="center"/>
    </xf>
    <xf numFmtId="0" fontId="3" fillId="33" borderId="1" applyAlignment="1" pivotButton="0" quotePrefix="0" xfId="0">
      <alignment horizontal="left" vertical="center"/>
    </xf>
    <xf numFmtId="3" fontId="3" fillId="33" borderId="1" applyAlignment="1" pivotButton="0" quotePrefix="0" xfId="0">
      <alignment horizontal="right" vertical="center"/>
    </xf>
    <xf numFmtId="0" fontId="6" fillId="33" borderId="1" applyAlignment="1" pivotButton="0" quotePrefix="0" xfId="0">
      <alignment horizontal="left" vertical="center"/>
    </xf>
    <xf numFmtId="0" fontId="34" fillId="25" borderId="1" applyAlignment="1" pivotButton="0" quotePrefix="0" xfId="0">
      <alignment horizontal="left" vertical="center"/>
    </xf>
    <xf numFmtId="3" fontId="3" fillId="25" borderId="1" applyAlignment="1" pivotButton="0" quotePrefix="0" xfId="0">
      <alignment horizontal="right" vertical="center"/>
    </xf>
    <xf numFmtId="0" fontId="3" fillId="25" borderId="1" applyAlignment="1" pivotButton="0" quotePrefix="0" xfId="0">
      <alignment horizontal="left" vertical="center"/>
    </xf>
    <xf numFmtId="3" fontId="35" fillId="34" borderId="1" applyAlignment="1" pivotButton="0" quotePrefix="0" xfId="0">
      <alignment horizontal="right" vertical="center"/>
    </xf>
    <xf numFmtId="0" fontId="12" fillId="34" borderId="1" applyAlignment="1" pivotButton="0" quotePrefix="0" xfId="0">
      <alignment horizontal="left" vertical="center"/>
    </xf>
    <xf numFmtId="0" fontId="6" fillId="34" borderId="1" applyAlignment="1" pivotButton="0" quotePrefix="0" xfId="0">
      <alignment horizontal="left" vertical="center"/>
    </xf>
    <xf numFmtId="0" fontId="36" fillId="35" borderId="1" applyAlignment="1" pivotButton="0" quotePrefix="0" xfId="0">
      <alignment horizontal="left" vertical="center"/>
    </xf>
    <xf numFmtId="3" fontId="36" fillId="35" borderId="1" applyAlignment="1" pivotButton="0" quotePrefix="0" xfId="0">
      <alignment horizontal="right" vertical="center"/>
    </xf>
    <xf numFmtId="0" fontId="43" fillId="0" borderId="1" applyAlignment="1" pivotButton="0" quotePrefix="0" xfId="0">
      <alignment horizontal="left" vertical="center"/>
    </xf>
    <xf numFmtId="0" fontId="34" fillId="24" borderId="1" applyAlignment="1" pivotButton="0" quotePrefix="0" xfId="0">
      <alignment horizontal="left" vertical="center"/>
    </xf>
    <xf numFmtId="3" fontId="3" fillId="24" borderId="1" applyAlignment="1" pivotButton="0" quotePrefix="0" xfId="0">
      <alignment horizontal="right" vertical="center"/>
    </xf>
    <xf numFmtId="0" fontId="3" fillId="24" borderId="1" applyAlignment="1" pivotButton="0" quotePrefix="0" xfId="0">
      <alignment horizontal="left" vertical="center"/>
    </xf>
    <xf numFmtId="0" fontId="6" fillId="27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left" vertical="center"/>
    </xf>
    <xf numFmtId="0" fontId="6" fillId="25" borderId="1" applyAlignment="1" pivotButton="0" quotePrefix="0" xfId="0">
      <alignment horizontal="left" vertical="center"/>
    </xf>
    <xf numFmtId="0" fontId="4" fillId="24" borderId="1" applyAlignment="1" pivotButton="0" quotePrefix="0" xfId="0">
      <alignment horizontal="left" vertical="center"/>
    </xf>
    <xf numFmtId="0" fontId="6" fillId="24" borderId="1" applyAlignment="1" pivotButton="0" quotePrefix="0" xfId="0">
      <alignment horizontal="left" vertical="center"/>
    </xf>
    <xf numFmtId="0" fontId="4" fillId="31" borderId="1" applyAlignment="1" pivotButton="0" quotePrefix="0" xfId="0">
      <alignment horizontal="left" vertical="center"/>
    </xf>
    <xf numFmtId="0" fontId="34" fillId="36" borderId="1" applyAlignment="1" pivotButton="0" quotePrefix="0" xfId="0">
      <alignment horizontal="left" vertical="center"/>
    </xf>
    <xf numFmtId="10" fontId="3" fillId="36" borderId="1" applyAlignment="1" pivotButton="0" quotePrefix="0" xfId="0">
      <alignment horizontal="right" vertical="center"/>
    </xf>
    <xf numFmtId="0" fontId="6" fillId="36" borderId="1" applyAlignment="1" pivotButton="0" quotePrefix="0" xfId="0">
      <alignment horizontal="left" vertical="center"/>
    </xf>
    <xf numFmtId="0" fontId="31" fillId="36" borderId="1" applyAlignment="1" pivotButton="0" quotePrefix="0" xfId="0">
      <alignment horizontal="left" vertical="center"/>
    </xf>
    <xf numFmtId="176" fontId="3" fillId="36" borderId="1" applyAlignment="1" pivotButton="0" quotePrefix="0" xfId="0">
      <alignment horizontal="right" vertical="center"/>
    </xf>
    <xf numFmtId="172" fontId="3" fillId="2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77" fontId="3" fillId="4" borderId="1" applyAlignment="1" pivotButton="0" quotePrefix="0" xfId="0">
      <alignment horizontal="right" vertical="center"/>
    </xf>
    <xf numFmtId="0" fontId="34" fillId="2" borderId="1" applyAlignment="1" pivotButton="0" quotePrefix="0" xfId="0">
      <alignment horizontal="left" vertical="center"/>
    </xf>
    <xf numFmtId="0" fontId="34" fillId="2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3" fontId="39" fillId="17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72" fontId="12" fillId="8" borderId="1" applyAlignment="1" pivotButton="0" quotePrefix="0" xfId="0">
      <alignment horizontal="right" vertical="center"/>
    </xf>
    <xf numFmtId="0" fontId="44" fillId="14" borderId="1" applyAlignment="1" pivotButton="0" quotePrefix="0" xfId="0">
      <alignment horizontal="center" vertical="center"/>
    </xf>
    <xf numFmtId="0" fontId="44" fillId="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right" vertical="center"/>
    </xf>
    <xf numFmtId="171" fontId="3" fillId="19" borderId="1" applyAlignment="1" pivotButton="0" quotePrefix="0" xfId="0">
      <alignment horizontal="right" vertical="center"/>
    </xf>
    <xf numFmtId="174" fontId="39" fillId="0" borderId="1" applyAlignment="1" pivotButton="0" quotePrefix="0" xfId="0">
      <alignment horizontal="right" vertical="center"/>
    </xf>
    <xf numFmtId="0" fontId="3" fillId="20" borderId="1" applyAlignment="1" pivotButton="0" quotePrefix="0" xfId="0">
      <alignment horizontal="center" vertical="center"/>
    </xf>
    <xf numFmtId="171" fontId="3" fillId="20" borderId="1" applyAlignment="1" pivotButton="0" quotePrefix="0" xfId="0">
      <alignment horizontal="right" vertical="center"/>
    </xf>
    <xf numFmtId="174" fontId="18" fillId="0" borderId="1" applyAlignment="1" pivotButton="0" quotePrefix="0" xfId="0">
      <alignment horizontal="right" vertical="center"/>
    </xf>
    <xf numFmtId="0" fontId="3" fillId="21" borderId="1" applyAlignment="1" pivotButton="0" quotePrefix="0" xfId="0">
      <alignment horizontal="center" vertical="center"/>
    </xf>
    <xf numFmtId="171" fontId="3" fillId="21" borderId="1" applyAlignment="1" pivotButton="0" quotePrefix="0" xfId="0">
      <alignment horizontal="right" vertical="center"/>
    </xf>
    <xf numFmtId="0" fontId="3" fillId="22" borderId="1" applyAlignment="1" pivotButton="0" quotePrefix="0" xfId="0">
      <alignment horizontal="center" vertical="center"/>
    </xf>
    <xf numFmtId="171" fontId="3" fillId="22" borderId="1" applyAlignment="1" pivotButton="0" quotePrefix="0" xfId="0">
      <alignment horizontal="right" vertical="center"/>
    </xf>
    <xf numFmtId="0" fontId="41" fillId="28" borderId="1" applyAlignment="1" pivotButton="0" quotePrefix="0" xfId="0">
      <alignment horizontal="center" vertical="center"/>
    </xf>
    <xf numFmtId="165" fontId="45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72" fontId="12" fillId="16" borderId="1" applyAlignment="1" pivotButton="0" quotePrefix="0" xfId="0">
      <alignment horizontal="right" vertical="center"/>
    </xf>
    <xf numFmtId="172" fontId="12" fillId="17" borderId="1" applyAlignment="1" pivotButton="0" quotePrefix="0" xfId="0">
      <alignment horizontal="right" vertical="center"/>
    </xf>
    <xf numFmtId="3" fontId="12" fillId="17" borderId="1" applyAlignment="1" pivotButton="0" quotePrefix="0" xfId="0">
      <alignment horizontal="right" vertical="center"/>
    </xf>
    <xf numFmtId="172" fontId="20" fillId="18" borderId="1" applyAlignment="1" pivotButton="0" quotePrefix="0" xfId="0">
      <alignment horizontal="right" vertical="center"/>
    </xf>
    <xf numFmtId="3" fontId="20" fillId="18" borderId="1" applyAlignment="1" pivotButton="0" quotePrefix="0" xfId="0">
      <alignment horizontal="right" vertical="center"/>
    </xf>
    <xf numFmtId="0" fontId="46" fillId="23" borderId="1" applyAlignment="1" pivotButton="0" quotePrefix="0" xfId="0">
      <alignment horizontal="center"/>
    </xf>
    <xf numFmtId="178" fontId="18" fillId="16" borderId="1" applyAlignment="1" pivotButton="0" quotePrefix="0" xfId="0">
      <alignment horizontal="right" vertical="center"/>
    </xf>
    <xf numFmtId="179" fontId="3" fillId="19" borderId="1" applyAlignment="1" pivotButton="0" quotePrefix="0" xfId="0">
      <alignment horizontal="right" vertical="center"/>
    </xf>
    <xf numFmtId="179" fontId="3" fillId="20" borderId="1" applyAlignment="1" pivotButton="0" quotePrefix="0" xfId="0">
      <alignment horizontal="right" vertical="center"/>
    </xf>
    <xf numFmtId="179" fontId="3" fillId="21" borderId="1" applyAlignment="1" pivotButton="0" quotePrefix="0" xfId="0">
      <alignment horizontal="right" vertical="center"/>
    </xf>
    <xf numFmtId="179" fontId="3" fillId="22" borderId="1" applyAlignment="1" pivotButton="0" quotePrefix="0" xfId="0">
      <alignment horizontal="right" vertical="center"/>
    </xf>
    <xf numFmtId="169" fontId="3" fillId="19" borderId="1" applyAlignment="1" pivotButton="0" quotePrefix="0" xfId="0">
      <alignment horizontal="right" vertical="center"/>
    </xf>
    <xf numFmtId="169" fontId="3" fillId="20" borderId="1" applyAlignment="1" pivotButton="0" quotePrefix="0" xfId="0">
      <alignment horizontal="right" vertical="center"/>
    </xf>
    <xf numFmtId="169" fontId="3" fillId="21" borderId="1" applyAlignment="1" pivotButton="0" quotePrefix="0" xfId="0">
      <alignment horizontal="right" vertical="center"/>
    </xf>
    <xf numFmtId="169" fontId="3" fillId="22" borderId="1" applyAlignment="1" pivotButton="0" quotePrefix="0" xfId="0">
      <alignment horizontal="right" vertical="center"/>
    </xf>
    <xf numFmtId="165" fontId="3" fillId="19" borderId="1" applyAlignment="1" pivotButton="0" quotePrefix="0" xfId="0">
      <alignment horizontal="right" vertical="center"/>
    </xf>
    <xf numFmtId="165" fontId="3" fillId="20" borderId="1" applyAlignment="1" pivotButton="0" quotePrefix="0" xfId="0">
      <alignment horizontal="right" vertical="center"/>
    </xf>
    <xf numFmtId="165" fontId="3" fillId="21" borderId="1" applyAlignment="1" pivotButton="0" quotePrefix="0" xfId="0">
      <alignment horizontal="right" vertical="center"/>
    </xf>
    <xf numFmtId="165" fontId="3" fillId="2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ΔNIM (bps) — Liquidity Sensitivity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v>ΔNIM (bps)</v>
          </tx>
          <spPr>
            <a:ln xmlns:a="http://schemas.openxmlformats.org/drawingml/2006/main">
              <a:prstDash val="solid"/>
            </a:ln>
          </spPr>
          <cat>
            <numRef>
              <f>'06_Dashboard'!$A$37:$A$40</f>
            </numRef>
          </cat>
          <val>
            <numRef>
              <f>'06_Dashboard'!$B$37:$B$40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LCR (%) by Scenario vs Minimum 100%</a:t>
            </a:r>
          </a:p>
        </rich>
      </tx>
    </title>
    <plotArea>
      <barChart>
        <barDir val="col"/>
        <grouping val="clustered"/>
        <ser>
          <idx val="0"/>
          <order val="0"/>
          <tx>
            <v>LCR %</v>
          </tx>
          <spPr>
            <a:ln xmlns:a="http://schemas.openxmlformats.org/drawingml/2006/main">
              <a:prstDash val="solid"/>
            </a:ln>
          </spPr>
          <cat>
            <numRef>
              <f>'07_LCR_Waterfall'!$A$102:$A$105</f>
            </numRef>
          </cat>
          <val>
            <numRef>
              <f>'07_LCR_Waterfall'!$B$102:$B$105</f>
            </numRef>
          </val>
        </ser>
        <ser>
          <idx val="1"/>
          <order val="1"/>
          <tx>
            <v>Minimum 100%</v>
          </tx>
          <spPr>
            <a:ln xmlns:a="http://schemas.openxmlformats.org/drawingml/2006/main">
              <a:prstDash val="solid"/>
            </a:ln>
          </spPr>
          <cat>
            <numRef>
              <f>'07_LCR_Waterfall'!$A$102:$A$105</f>
            </numRef>
          </cat>
          <val>
            <numRef>
              <f>'07_LCR_Waterfall'!$C$102:$C$105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LCR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101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5" customWidth="1" min="4" max="4"/>
    <col width="15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 ht="32" customHeight="1">
      <c r="A1" s="1" t="inlineStr">
        <is>
          <t>BẢNG CÂN ĐỐI KẾ TOÁN — DỮ LIỆU CONTRACTUAL (INPUT)</t>
        </is>
      </c>
      <c r="B1" s="121" t="n"/>
      <c r="C1" s="121" t="n"/>
      <c r="D1" s="121" t="n"/>
      <c r="E1" s="121" t="n"/>
      <c r="F1" s="121" t="n"/>
      <c r="G1" s="121" t="n"/>
      <c r="H1" s="121" t="n"/>
      <c r="I1" s="122" t="n"/>
    </row>
    <row r="2">
      <c r="A2" s="2" t="inlineStr">
        <is>
          <t>Đơn vị: tỷ VND  |  Ô màu vàng = INPUT có thể chỉnh  |  Dữ liệu mẫu minh họa</t>
        </is>
      </c>
      <c r="B2" s="121" t="n"/>
      <c r="C2" s="121" t="n"/>
      <c r="D2" s="121" t="n"/>
      <c r="E2" s="121" t="n"/>
      <c r="F2" s="121" t="n"/>
      <c r="G2" s="121" t="n"/>
      <c r="H2" s="121" t="n"/>
      <c r="I2" s="122" t="n"/>
    </row>
    <row r="4" ht="32" customHeight="1">
      <c r="A4" s="3" t="inlineStr">
        <is>
          <t>Khoản mục</t>
        </is>
      </c>
      <c r="B4" s="3" t="inlineStr">
        <is>
          <t>Số dư (tỷ)</t>
        </is>
      </c>
      <c r="C4" s="3" t="inlineStr">
        <is>
          <t>Lãi suất (%)</t>
        </is>
      </c>
      <c r="D4" s="3" t="inlineStr">
        <is>
          <t>Bucket contractual</t>
        </is>
      </c>
      <c r="E4" s="3" t="inlineStr">
        <is>
          <t>Loại lãi suất</t>
        </is>
      </c>
      <c r="F4" s="3" t="inlineStr">
        <is>
          <t>Days to reprice</t>
        </is>
      </c>
      <c r="G4" s="3" t="inlineStr">
        <is>
          <t>Bucket (days)</t>
        </is>
      </c>
      <c r="H4" s="3" t="inlineStr">
        <is>
          <t>Ghi chú</t>
        </is>
      </c>
      <c r="I4" s="3" t="inlineStr">
        <is>
          <t>Nhóm</t>
        </is>
      </c>
    </row>
    <row r="5" ht="22" customHeight="1">
      <c r="A5" s="233" t="inlineStr">
        <is>
          <t>TỔNG TÀI SẢN</t>
        </is>
      </c>
      <c r="B5" s="121" t="n"/>
      <c r="C5" s="121" t="n"/>
      <c r="D5" s="121" t="n"/>
      <c r="E5" s="121" t="n"/>
      <c r="F5" s="121" t="n"/>
      <c r="G5" s="121" t="n"/>
      <c r="H5" s="121" t="n"/>
      <c r="I5" s="122" t="n"/>
    </row>
    <row r="6" ht="18" customHeight="1">
      <c r="A6" s="5" t="inlineStr">
        <is>
          <t>I. TIỀN &amp; CÁC KHOẢN TƯƠNG ĐƯƠNG TIỀN</t>
        </is>
      </c>
      <c r="B6" s="121" t="n"/>
      <c r="C6" s="121" t="n"/>
      <c r="D6" s="121" t="n"/>
      <c r="E6" s="121" t="n"/>
      <c r="F6" s="121" t="n"/>
      <c r="G6" s="121" t="n"/>
      <c r="H6" s="121" t="n"/>
      <c r="I6" s="122" t="n"/>
    </row>
    <row r="7" ht="18" customHeight="1">
      <c r="A7" s="219" t="inlineStr">
        <is>
          <t xml:space="preserve">  Tiền mặt &amp; gửi NHNN</t>
        </is>
      </c>
      <c r="B7" s="220" t="n">
        <v>2000</v>
      </c>
      <c r="C7" s="221" t="n">
        <v>0</v>
      </c>
      <c r="D7" s="9" t="inlineStr">
        <is>
          <t>O/N</t>
        </is>
      </c>
      <c r="E7" s="9" t="inlineStr">
        <is>
          <t>Không lãi</t>
        </is>
      </c>
      <c r="F7" s="10" t="n">
        <v>1</v>
      </c>
      <c r="G7" s="11" t="n">
        <v>1</v>
      </c>
      <c r="H7" s="223" t="inlineStr">
        <is>
          <t>Dự trữ bắt buộc</t>
        </is>
      </c>
      <c r="I7" s="13" t="inlineStr">
        <is>
          <t>Asset</t>
        </is>
      </c>
    </row>
    <row r="8" ht="18" customHeight="1">
      <c r="A8" s="5" t="inlineStr">
        <is>
          <t>II. TIỀN GỬI VÀ CHO VAY LIÊN NGÂN HÀNG (TT2)</t>
        </is>
      </c>
      <c r="B8" s="121" t="n"/>
      <c r="C8" s="121" t="n"/>
      <c r="D8" s="121" t="n"/>
      <c r="E8" s="121" t="n"/>
      <c r="F8" s="121" t="n"/>
      <c r="G8" s="121" t="n"/>
      <c r="H8" s="121" t="n"/>
      <c r="I8" s="122" t="n"/>
    </row>
    <row r="9" ht="18" customHeight="1">
      <c r="A9" s="219" t="inlineStr">
        <is>
          <t xml:space="preserve">  Gửi LNH — O/N</t>
        </is>
      </c>
      <c r="B9" s="220" t="n">
        <v>500</v>
      </c>
      <c r="C9" s="221" t="n">
        <v>0.042</v>
      </c>
      <c r="D9" s="9" t="inlineStr">
        <is>
          <t>O/N</t>
        </is>
      </c>
      <c r="E9" s="9" t="inlineStr">
        <is>
          <t>Thả nổi</t>
        </is>
      </c>
      <c r="F9" s="10" t="n">
        <v>1</v>
      </c>
      <c r="G9" s="11" t="n">
        <v>1</v>
      </c>
      <c r="H9" s="223" t="inlineStr"/>
      <c r="I9" s="13" t="inlineStr">
        <is>
          <t>Asset</t>
        </is>
      </c>
    </row>
    <row r="10" ht="18" customHeight="1">
      <c r="A10" s="224" t="inlineStr">
        <is>
          <t xml:space="preserve">  Gửi LNH — 1W</t>
        </is>
      </c>
      <c r="B10" s="220" t="n">
        <v>800</v>
      </c>
      <c r="C10" s="221" t="n">
        <v>0.044</v>
      </c>
      <c r="D10" s="15" t="inlineStr">
        <is>
          <t>1W</t>
        </is>
      </c>
      <c r="E10" s="15" t="inlineStr">
        <is>
          <t>Cố định</t>
        </is>
      </c>
      <c r="F10" s="10" t="n">
        <v>7</v>
      </c>
      <c r="G10" s="16" t="n">
        <v>7</v>
      </c>
      <c r="H10" s="225" t="inlineStr"/>
      <c r="I10" s="13" t="inlineStr">
        <is>
          <t>Asset</t>
        </is>
      </c>
    </row>
    <row r="11" ht="18" customHeight="1">
      <c r="A11" s="219" t="inlineStr">
        <is>
          <t xml:space="preserve">  Gửi LNH — 1M</t>
        </is>
      </c>
      <c r="B11" s="220" t="n">
        <v>600</v>
      </c>
      <c r="C11" s="221" t="n">
        <v>0.046</v>
      </c>
      <c r="D11" s="9" t="inlineStr">
        <is>
          <t>1M</t>
        </is>
      </c>
      <c r="E11" s="9" t="inlineStr">
        <is>
          <t>Cố định</t>
        </is>
      </c>
      <c r="F11" s="10" t="n">
        <v>30</v>
      </c>
      <c r="G11" s="11" t="n">
        <v>30</v>
      </c>
      <c r="H11" s="223" t="inlineStr"/>
      <c r="I11" s="13" t="inlineStr">
        <is>
          <t>Asset</t>
        </is>
      </c>
    </row>
    <row r="12" ht="18" customHeight="1">
      <c r="A12" s="5" t="inlineStr">
        <is>
          <t>III. CHO VAY KHÁCH HÀNG</t>
        </is>
      </c>
      <c r="B12" s="121" t="n"/>
      <c r="C12" s="121" t="n"/>
      <c r="D12" s="121" t="n"/>
      <c r="E12" s="121" t="n"/>
      <c r="F12" s="121" t="n"/>
      <c r="G12" s="121" t="n"/>
      <c r="H12" s="121" t="n"/>
      <c r="I12" s="122" t="n"/>
    </row>
    <row r="13" ht="18" customHeight="1">
      <c r="A13" s="219" t="inlineStr">
        <is>
          <t xml:space="preserve">  Cho vay thả nổi — repricing 3M</t>
        </is>
      </c>
      <c r="B13" s="220" t="n">
        <v>15000</v>
      </c>
      <c r="C13" s="221" t="n">
        <v>0.08500000000000001</v>
      </c>
      <c r="D13" s="9" t="inlineStr">
        <is>
          <t>3M</t>
        </is>
      </c>
      <c r="E13" s="9" t="inlineStr">
        <is>
          <t>Thả nổi</t>
        </is>
      </c>
      <c r="F13" s="10" t="n">
        <v>90</v>
      </c>
      <c r="G13" s="11" t="n">
        <v>90</v>
      </c>
      <c r="H13" s="223" t="inlineStr">
        <is>
          <t>Phần lớn vay DN</t>
        </is>
      </c>
      <c r="I13" s="13" t="inlineStr">
        <is>
          <t>Asset</t>
        </is>
      </c>
    </row>
    <row r="14" ht="18" customHeight="1">
      <c r="A14" s="224" t="inlineStr">
        <is>
          <t xml:space="preserve">  Cho vay thả nổi — repricing 6M</t>
        </is>
      </c>
      <c r="B14" s="220" t="n">
        <v>10000</v>
      </c>
      <c r="C14" s="221" t="n">
        <v>0.09</v>
      </c>
      <c r="D14" s="15" t="inlineStr">
        <is>
          <t>6M</t>
        </is>
      </c>
      <c r="E14" s="15" t="inlineStr">
        <is>
          <t>Thả nổi</t>
        </is>
      </c>
      <c r="F14" s="10" t="n">
        <v>180</v>
      </c>
      <c r="G14" s="16" t="n">
        <v>180</v>
      </c>
      <c r="H14" s="225" t="inlineStr"/>
      <c r="I14" s="13" t="inlineStr">
        <is>
          <t>Asset</t>
        </is>
      </c>
    </row>
    <row r="15" ht="18" customHeight="1">
      <c r="A15" s="219" t="inlineStr">
        <is>
          <t xml:space="preserve">  Cho vay cố định — 1Y</t>
        </is>
      </c>
      <c r="B15" s="220" t="n">
        <v>8000</v>
      </c>
      <c r="C15" s="221" t="n">
        <v>0.095</v>
      </c>
      <c r="D15" s="9" t="inlineStr">
        <is>
          <t>1Y</t>
        </is>
      </c>
      <c r="E15" s="9" t="inlineStr">
        <is>
          <t>Cố định</t>
        </is>
      </c>
      <c r="F15" s="10" t="n">
        <v>365</v>
      </c>
      <c r="G15" s="11" t="n">
        <v>365</v>
      </c>
      <c r="H15" s="223" t="inlineStr"/>
      <c r="I15" s="13" t="inlineStr">
        <is>
          <t>Asset</t>
        </is>
      </c>
    </row>
    <row r="16" ht="18" customHeight="1">
      <c r="A16" s="224" t="inlineStr">
        <is>
          <t xml:space="preserve">  Cho vay cố định — &gt;1Y</t>
        </is>
      </c>
      <c r="B16" s="220" t="n">
        <v>20000</v>
      </c>
      <c r="C16" s="221" t="n">
        <v>0.1</v>
      </c>
      <c r="D16" s="15" t="inlineStr">
        <is>
          <t>&gt;1Y</t>
        </is>
      </c>
      <c r="E16" s="15" t="inlineStr">
        <is>
          <t>Cố định</t>
        </is>
      </c>
      <c r="F16" s="10" t="n">
        <v>730</v>
      </c>
      <c r="G16" s="16" t="n">
        <v>730</v>
      </c>
      <c r="H16" s="225" t="inlineStr">
        <is>
          <t>BĐS, dự án</t>
        </is>
      </c>
      <c r="I16" s="13" t="inlineStr">
        <is>
          <t>Asset</t>
        </is>
      </c>
    </row>
    <row r="17" ht="18" customHeight="1">
      <c r="A17" s="5" t="inlineStr">
        <is>
          <t>IV. CHỨNG KHOÁN ĐẦU TƯ (HQLA)</t>
        </is>
      </c>
      <c r="B17" s="121" t="n"/>
      <c r="C17" s="121" t="n"/>
      <c r="D17" s="121" t="n"/>
      <c r="E17" s="121" t="n"/>
      <c r="F17" s="121" t="n"/>
      <c r="G17" s="121" t="n"/>
      <c r="H17" s="121" t="n"/>
      <c r="I17" s="122" t="n"/>
    </row>
    <row r="18" ht="18" customHeight="1">
      <c r="A18" s="224" t="inlineStr">
        <is>
          <t xml:space="preserve">  TPCP đáo hạn 1Y</t>
        </is>
      </c>
      <c r="B18" s="220" t="n">
        <v>3000</v>
      </c>
      <c r="C18" s="221" t="n">
        <v>0.055</v>
      </c>
      <c r="D18" s="15" t="inlineStr">
        <is>
          <t>1Y</t>
        </is>
      </c>
      <c r="E18" s="15" t="inlineStr">
        <is>
          <t>Cố định</t>
        </is>
      </c>
      <c r="F18" s="10" t="n">
        <v>365</v>
      </c>
      <c r="G18" s="16" t="n">
        <v>365</v>
      </c>
      <c r="H18" s="225" t="inlineStr">
        <is>
          <t>HQLA Level 1</t>
        </is>
      </c>
      <c r="I18" s="13" t="inlineStr">
        <is>
          <t>Asset</t>
        </is>
      </c>
    </row>
    <row r="19" ht="18" customHeight="1">
      <c r="A19" s="219" t="inlineStr">
        <is>
          <t xml:space="preserve">  TPCP đáo hạn 3Y</t>
        </is>
      </c>
      <c r="B19" s="220" t="n">
        <v>5000</v>
      </c>
      <c r="C19" s="221" t="n">
        <v>0.06</v>
      </c>
      <c r="D19" s="9" t="inlineStr">
        <is>
          <t>&gt;1Y</t>
        </is>
      </c>
      <c r="E19" s="9" t="inlineStr">
        <is>
          <t>Cố định</t>
        </is>
      </c>
      <c r="F19" s="10" t="n">
        <v>1095</v>
      </c>
      <c r="G19" s="11" t="n">
        <v>1095</v>
      </c>
      <c r="H19" s="223" t="inlineStr">
        <is>
          <t>HQLA Level 1</t>
        </is>
      </c>
      <c r="I19" s="13" t="inlineStr">
        <is>
          <t>Asset</t>
        </is>
      </c>
    </row>
    <row r="20" ht="18" customHeight="1">
      <c r="A20" s="224" t="inlineStr">
        <is>
          <t xml:space="preserve">  TPCP đáo hạn 5Y</t>
        </is>
      </c>
      <c r="B20" s="220" t="n">
        <v>4000</v>
      </c>
      <c r="C20" s="221" t="n">
        <v>0.065</v>
      </c>
      <c r="D20" s="15" t="inlineStr">
        <is>
          <t>&gt;1Y</t>
        </is>
      </c>
      <c r="E20" s="15" t="inlineStr">
        <is>
          <t>Cố định</t>
        </is>
      </c>
      <c r="F20" s="10" t="n">
        <v>1825</v>
      </c>
      <c r="G20" s="16" t="n">
        <v>1825</v>
      </c>
      <c r="H20" s="225" t="inlineStr">
        <is>
          <t>HQLA Level 1</t>
        </is>
      </c>
      <c r="I20" s="13" t="inlineStr">
        <is>
          <t>Asset</t>
        </is>
      </c>
    </row>
    <row r="21" ht="18" customHeight="1">
      <c r="A21" s="219" t="inlineStr">
        <is>
          <t xml:space="preserve">  Trái phiếu DN — 2Y</t>
        </is>
      </c>
      <c r="B21" s="220" t="n">
        <v>2000</v>
      </c>
      <c r="C21" s="221" t="n">
        <v>0.075</v>
      </c>
      <c r="D21" s="9" t="inlineStr">
        <is>
          <t>&gt;1Y</t>
        </is>
      </c>
      <c r="E21" s="9" t="inlineStr">
        <is>
          <t>Cố định</t>
        </is>
      </c>
      <c r="F21" s="10" t="n">
        <v>730</v>
      </c>
      <c r="G21" s="11" t="n">
        <v>730</v>
      </c>
      <c r="H21" s="223" t="inlineStr">
        <is>
          <t>HQLA Level 2B</t>
        </is>
      </c>
      <c r="I21" s="13" t="inlineStr">
        <is>
          <t>Asset</t>
        </is>
      </c>
    </row>
    <row r="22" ht="18" customHeight="1">
      <c r="A22" s="5" t="inlineStr">
        <is>
          <t>V. TÀI SẢN KHÁC</t>
        </is>
      </c>
      <c r="B22" s="121" t="n"/>
      <c r="C22" s="121" t="n"/>
      <c r="D22" s="121" t="n"/>
      <c r="E22" s="121" t="n"/>
      <c r="F22" s="121" t="n"/>
      <c r="G22" s="121" t="n"/>
      <c r="H22" s="121" t="n"/>
      <c r="I22" s="122" t="n"/>
    </row>
    <row r="23" ht="18" customHeight="1">
      <c r="A23" s="219" t="inlineStr">
        <is>
          <t xml:space="preserve">  Tài sản cố định &amp; khác</t>
        </is>
      </c>
      <c r="B23" s="220" t="n">
        <v>1500</v>
      </c>
      <c r="C23" s="221" t="n">
        <v>0</v>
      </c>
      <c r="D23" s="9" t="inlineStr">
        <is>
          <t>&gt;1Y</t>
        </is>
      </c>
      <c r="E23" s="9" t="inlineStr">
        <is>
          <t>Không lãi</t>
        </is>
      </c>
      <c r="F23" s="10" t="n">
        <v>730</v>
      </c>
      <c r="G23" s="11" t="n">
        <v>730</v>
      </c>
      <c r="H23" s="223" t="inlineStr"/>
      <c r="I23" s="13" t="inlineStr">
        <is>
          <t>Asset</t>
        </is>
      </c>
    </row>
    <row r="24" ht="6" customHeight="1"/>
    <row r="25" ht="22" customHeight="1">
      <c r="A25" s="233" t="inlineStr">
        <is>
          <t>TỔNG NỢ PHẢI TRẢ &amp; VỐN CHỦ SỞ HỮU</t>
        </is>
      </c>
      <c r="B25" s="121" t="n"/>
      <c r="C25" s="121" t="n"/>
      <c r="D25" s="121" t="n"/>
      <c r="E25" s="121" t="n"/>
      <c r="F25" s="121" t="n"/>
      <c r="G25" s="121" t="n"/>
      <c r="H25" s="121" t="n"/>
      <c r="I25" s="122" t="n"/>
    </row>
    <row r="26" ht="18" customHeight="1">
      <c r="A26" s="5" t="inlineStr">
        <is>
          <t>I. TIỀN GỬI KHÁCH HÀNG (TT1)</t>
        </is>
      </c>
      <c r="B26" s="121" t="n"/>
      <c r="C26" s="121" t="n"/>
      <c r="D26" s="121" t="n"/>
      <c r="E26" s="121" t="n"/>
      <c r="F26" s="121" t="n"/>
      <c r="G26" s="121" t="n"/>
      <c r="H26" s="121" t="n"/>
      <c r="I26" s="122" t="n"/>
    </row>
    <row r="27" ht="18" customHeight="1">
      <c r="A27" s="219" t="inlineStr">
        <is>
          <t xml:space="preserve">  Tiền gửi KKH — CASA Retail</t>
        </is>
      </c>
      <c r="B27" s="220" t="n">
        <v>6000</v>
      </c>
      <c r="C27" s="221" t="n">
        <v>0.003</v>
      </c>
      <c r="D27" s="9" t="inlineStr">
        <is>
          <t>O/N*</t>
        </is>
      </c>
      <c r="E27" s="9" t="inlineStr">
        <is>
          <t>Không kỳ hạn</t>
        </is>
      </c>
      <c r="F27" s="10" t="n">
        <v>1</v>
      </c>
      <c r="G27" s="11" t="n">
        <v>1</v>
      </c>
      <c r="H27" s="223" t="inlineStr">
        <is>
          <t>Core stable ~65%</t>
        </is>
      </c>
      <c r="I27" s="18" t="inlineStr">
        <is>
          <t>Liability</t>
        </is>
      </c>
    </row>
    <row r="28" ht="18" customHeight="1">
      <c r="A28" s="224" t="inlineStr">
        <is>
          <t xml:space="preserve">  Tiền gửi KKH — CASA Corporate</t>
        </is>
      </c>
      <c r="B28" s="220" t="n">
        <v>4000</v>
      </c>
      <c r="C28" s="221" t="n">
        <v>0.005</v>
      </c>
      <c r="D28" s="15" t="inlineStr">
        <is>
          <t>O/N*</t>
        </is>
      </c>
      <c r="E28" s="15" t="inlineStr">
        <is>
          <t>Không kỳ hạn</t>
        </is>
      </c>
      <c r="F28" s="10" t="n">
        <v>1</v>
      </c>
      <c r="G28" s="16" t="n">
        <v>1</v>
      </c>
      <c r="H28" s="225" t="inlineStr">
        <is>
          <t>Core stable ~40%</t>
        </is>
      </c>
      <c r="I28" s="18" t="inlineStr">
        <is>
          <t>Liability</t>
        </is>
      </c>
    </row>
    <row r="29" ht="18" customHeight="1">
      <c r="A29" s="219" t="inlineStr">
        <is>
          <t xml:space="preserve">  Tiền tiết kiệm — 1M</t>
        </is>
      </c>
      <c r="B29" s="220" t="n">
        <v>5000</v>
      </c>
      <c r="C29" s="221" t="n">
        <v>0.045</v>
      </c>
      <c r="D29" s="9" t="inlineStr">
        <is>
          <t>1M</t>
        </is>
      </c>
      <c r="E29" s="9" t="inlineStr">
        <is>
          <t>Cố định</t>
        </is>
      </c>
      <c r="F29" s="10" t="n">
        <v>30</v>
      </c>
      <c r="G29" s="11" t="n">
        <v>30</v>
      </c>
      <c r="H29" s="223" t="inlineStr">
        <is>
          <t>EWR 5%</t>
        </is>
      </c>
      <c r="I29" s="18" t="inlineStr">
        <is>
          <t>Liability</t>
        </is>
      </c>
    </row>
    <row r="30" ht="18" customHeight="1">
      <c r="A30" s="224" t="inlineStr">
        <is>
          <t xml:space="preserve">  Tiền gửi kỳ hạn — 3M</t>
        </is>
      </c>
      <c r="B30" s="220" t="n">
        <v>8000</v>
      </c>
      <c r="C30" s="221" t="n">
        <v>0.05</v>
      </c>
      <c r="D30" s="15" t="inlineStr">
        <is>
          <t>3M</t>
        </is>
      </c>
      <c r="E30" s="15" t="inlineStr">
        <is>
          <t>Cố định</t>
        </is>
      </c>
      <c r="F30" s="10" t="n">
        <v>90</v>
      </c>
      <c r="G30" s="16" t="n">
        <v>90</v>
      </c>
      <c r="H30" s="225" t="inlineStr">
        <is>
          <t>EWR 8%</t>
        </is>
      </c>
      <c r="I30" s="18" t="inlineStr">
        <is>
          <t>Liability</t>
        </is>
      </c>
    </row>
    <row r="31" ht="18" customHeight="1">
      <c r="A31" s="219" t="inlineStr">
        <is>
          <t xml:space="preserve">  Tiền gửi kỳ hạn — 6M</t>
        </is>
      </c>
      <c r="B31" s="220" t="n">
        <v>12000</v>
      </c>
      <c r="C31" s="221" t="n">
        <v>0.055</v>
      </c>
      <c r="D31" s="9" t="inlineStr">
        <is>
          <t>6M</t>
        </is>
      </c>
      <c r="E31" s="9" t="inlineStr">
        <is>
          <t>Cố định</t>
        </is>
      </c>
      <c r="F31" s="10" t="n">
        <v>180</v>
      </c>
      <c r="G31" s="11" t="n">
        <v>180</v>
      </c>
      <c r="H31" s="223" t="inlineStr">
        <is>
          <t>EWR 6%</t>
        </is>
      </c>
      <c r="I31" s="18" t="inlineStr">
        <is>
          <t>Liability</t>
        </is>
      </c>
    </row>
    <row r="32" ht="18" customHeight="1">
      <c r="A32" s="224" t="inlineStr">
        <is>
          <t xml:space="preserve">  Tiền gửi kỳ hạn — 12M</t>
        </is>
      </c>
      <c r="B32" s="220" t="n">
        <v>10000</v>
      </c>
      <c r="C32" s="221" t="n">
        <v>0.06</v>
      </c>
      <c r="D32" s="15" t="inlineStr">
        <is>
          <t>1Y</t>
        </is>
      </c>
      <c r="E32" s="15" t="inlineStr">
        <is>
          <t>Cố định</t>
        </is>
      </c>
      <c r="F32" s="10" t="n">
        <v>365</v>
      </c>
      <c r="G32" s="16" t="n">
        <v>365</v>
      </c>
      <c r="H32" s="225" t="inlineStr">
        <is>
          <t>EWR 4%</t>
        </is>
      </c>
      <c r="I32" s="18" t="inlineStr">
        <is>
          <t>Liability</t>
        </is>
      </c>
    </row>
    <row r="33" ht="18" customHeight="1">
      <c r="A33" s="219" t="inlineStr">
        <is>
          <t xml:space="preserve">  Tiền gửi kỳ hạn — &gt;12M</t>
        </is>
      </c>
      <c r="B33" s="220" t="n">
        <v>5000</v>
      </c>
      <c r="C33" s="221" t="n">
        <v>0.065</v>
      </c>
      <c r="D33" s="9" t="inlineStr">
        <is>
          <t>&gt;1Y</t>
        </is>
      </c>
      <c r="E33" s="9" t="inlineStr">
        <is>
          <t>Cố định</t>
        </is>
      </c>
      <c r="F33" s="10" t="n">
        <v>730</v>
      </c>
      <c r="G33" s="11" t="n">
        <v>730</v>
      </c>
      <c r="H33" s="223" t="inlineStr"/>
      <c r="I33" s="18" t="inlineStr">
        <is>
          <t>Liability</t>
        </is>
      </c>
    </row>
    <row r="34" ht="18" customHeight="1">
      <c r="A34" s="5" t="inlineStr">
        <is>
          <t>II. VAY LIÊN NGÂN HÀNG (TT2)</t>
        </is>
      </c>
      <c r="B34" s="121" t="n"/>
      <c r="C34" s="121" t="n"/>
      <c r="D34" s="121" t="n"/>
      <c r="E34" s="121" t="n"/>
      <c r="F34" s="121" t="n"/>
      <c r="G34" s="121" t="n"/>
      <c r="H34" s="121" t="n"/>
      <c r="I34" s="122" t="n"/>
    </row>
    <row r="35" ht="18" customHeight="1">
      <c r="A35" s="219" t="inlineStr">
        <is>
          <t xml:space="preserve">  Vay LNH — O/N</t>
        </is>
      </c>
      <c r="B35" s="220" t="n">
        <v>1000</v>
      </c>
      <c r="C35" s="221" t="n">
        <v>0.043</v>
      </c>
      <c r="D35" s="9" t="inlineStr">
        <is>
          <t>O/N</t>
        </is>
      </c>
      <c r="E35" s="9" t="inlineStr">
        <is>
          <t>Thả nổi</t>
        </is>
      </c>
      <c r="F35" s="10" t="n">
        <v>1</v>
      </c>
      <c r="G35" s="11" t="n">
        <v>1</v>
      </c>
      <c r="H35" s="223" t="inlineStr"/>
      <c r="I35" s="18" t="inlineStr">
        <is>
          <t>Liability</t>
        </is>
      </c>
    </row>
    <row r="36" ht="18" customHeight="1">
      <c r="A36" s="224" t="inlineStr">
        <is>
          <t xml:space="preserve">  Vay LNH — 1W</t>
        </is>
      </c>
      <c r="B36" s="220" t="n">
        <v>2000</v>
      </c>
      <c r="C36" s="221" t="n">
        <v>0.045</v>
      </c>
      <c r="D36" s="15" t="inlineStr">
        <is>
          <t>1W</t>
        </is>
      </c>
      <c r="E36" s="15" t="inlineStr">
        <is>
          <t>Cố định</t>
        </is>
      </c>
      <c r="F36" s="10" t="n">
        <v>7</v>
      </c>
      <c r="G36" s="16" t="n">
        <v>7</v>
      </c>
      <c r="H36" s="225" t="inlineStr"/>
      <c r="I36" s="18" t="inlineStr">
        <is>
          <t>Liability</t>
        </is>
      </c>
    </row>
    <row r="37" ht="18" customHeight="1">
      <c r="A37" s="219" t="inlineStr">
        <is>
          <t xml:space="preserve">  Vay LNH — 1M</t>
        </is>
      </c>
      <c r="B37" s="220" t="n">
        <v>1500</v>
      </c>
      <c r="C37" s="221" t="n">
        <v>0.048</v>
      </c>
      <c r="D37" s="9" t="inlineStr">
        <is>
          <t>1M</t>
        </is>
      </c>
      <c r="E37" s="9" t="inlineStr">
        <is>
          <t>Cố định</t>
        </is>
      </c>
      <c r="F37" s="10" t="n">
        <v>30</v>
      </c>
      <c r="G37" s="11" t="n">
        <v>30</v>
      </c>
      <c r="H37" s="223" t="inlineStr"/>
      <c r="I37" s="18" t="inlineStr">
        <is>
          <t>Liability</t>
        </is>
      </c>
    </row>
    <row r="38" ht="18" customHeight="1">
      <c r="A38" s="5" t="inlineStr">
        <is>
          <t>III. PHÁT HÀNH GIẤY TỜ CÓ GIÁ</t>
        </is>
      </c>
      <c r="B38" s="121" t="n"/>
      <c r="C38" s="121" t="n"/>
      <c r="D38" s="121" t="n"/>
      <c r="E38" s="121" t="n"/>
      <c r="F38" s="121" t="n"/>
      <c r="G38" s="121" t="n"/>
      <c r="H38" s="121" t="n"/>
      <c r="I38" s="122" t="n"/>
    </row>
    <row r="39" ht="18" customHeight="1">
      <c r="A39" s="219" t="inlineStr">
        <is>
          <t xml:space="preserve">  Trái phiếu phát hành — 2Y</t>
        </is>
      </c>
      <c r="B39" s="220" t="n">
        <v>3000</v>
      </c>
      <c r="C39" s="221" t="n">
        <v>0.07000000000000001</v>
      </c>
      <c r="D39" s="9" t="inlineStr">
        <is>
          <t>&gt;1Y</t>
        </is>
      </c>
      <c r="E39" s="9" t="inlineStr">
        <is>
          <t>Cố định</t>
        </is>
      </c>
      <c r="F39" s="10" t="n">
        <v>730</v>
      </c>
      <c r="G39" s="11" t="n">
        <v>730</v>
      </c>
      <c r="H39" s="223" t="inlineStr"/>
      <c r="I39" s="18" t="inlineStr">
        <is>
          <t>Liability</t>
        </is>
      </c>
    </row>
    <row r="40" ht="18" customHeight="1">
      <c r="A40" s="224" t="inlineStr">
        <is>
          <t xml:space="preserve">  Chứng chỉ tiền gửi — 3M</t>
        </is>
      </c>
      <c r="B40" s="220" t="n">
        <v>2000</v>
      </c>
      <c r="C40" s="221" t="n">
        <v>0.053</v>
      </c>
      <c r="D40" s="15" t="inlineStr">
        <is>
          <t>3M</t>
        </is>
      </c>
      <c r="E40" s="15" t="inlineStr">
        <is>
          <t>Cố định</t>
        </is>
      </c>
      <c r="F40" s="10" t="n">
        <v>90</v>
      </c>
      <c r="G40" s="16" t="n">
        <v>90</v>
      </c>
      <c r="H40" s="225" t="inlineStr"/>
      <c r="I40" s="18" t="inlineStr">
        <is>
          <t>Liability</t>
        </is>
      </c>
    </row>
    <row r="41" ht="18" customHeight="1">
      <c r="A41" s="5" t="inlineStr">
        <is>
          <t>IV. VỐN CHỦ SỞ HỮU</t>
        </is>
      </c>
      <c r="B41" s="121" t="n"/>
      <c r="C41" s="121" t="n"/>
      <c r="D41" s="121" t="n"/>
      <c r="E41" s="121" t="n"/>
      <c r="F41" s="121" t="n"/>
      <c r="G41" s="121" t="n"/>
      <c r="H41" s="121" t="n"/>
      <c r="I41" s="122" t="n"/>
    </row>
    <row r="42" ht="18" customHeight="1">
      <c r="A42" s="224" t="inlineStr">
        <is>
          <t xml:space="preserve">  Vốn điều lệ &amp; các quỹ</t>
        </is>
      </c>
      <c r="B42" s="220" t="n">
        <v>8900</v>
      </c>
      <c r="C42" s="221" t="n">
        <v>0</v>
      </c>
      <c r="D42" s="15" t="inlineStr">
        <is>
          <t>&gt;1Y</t>
        </is>
      </c>
      <c r="E42" s="15" t="inlineStr">
        <is>
          <t>Không lãi</t>
        </is>
      </c>
      <c r="F42" s="10" t="n">
        <v>730</v>
      </c>
      <c r="G42" s="16" t="n">
        <v>730</v>
      </c>
      <c r="H42" s="225" t="inlineStr"/>
      <c r="I42" s="19" t="inlineStr">
        <is>
          <t>Equity</t>
        </is>
      </c>
    </row>
    <row r="43" ht="6" customHeight="1"/>
    <row r="44" ht="22" customHeight="1">
      <c r="A44" s="233" t="inlineStr">
        <is>
          <t>CÁC CAM KẾT NGOẠI BẢNG (OFF-BALANCE SHEET)</t>
        </is>
      </c>
      <c r="B44" s="121" t="n"/>
      <c r="C44" s="121" t="n"/>
      <c r="D44" s="121" t="n"/>
      <c r="E44" s="121" t="n"/>
      <c r="F44" s="121" t="n"/>
      <c r="G44" s="121" t="n"/>
      <c r="H44" s="121" t="n"/>
      <c r="I44" s="122" t="n"/>
    </row>
    <row r="45" ht="18" customHeight="1">
      <c r="A45" s="219" t="inlineStr">
        <is>
          <t xml:space="preserve">  Hạn mức tín dụng chưa giải ngân — Retail</t>
        </is>
      </c>
      <c r="B45" s="220" t="n">
        <v>1500</v>
      </c>
      <c r="C45" s="221" t="n">
        <v>0</v>
      </c>
      <c r="D45" s="9" t="inlineStr">
        <is>
          <t>O/N*</t>
        </is>
      </c>
      <c r="E45" s="9" t="inlineStr">
        <is>
          <t>N/A</t>
        </is>
      </c>
      <c r="F45" s="10" t="n">
        <v>1</v>
      </c>
      <c r="G45" s="11" t="n">
        <v>1</v>
      </c>
      <c r="H45" s="223" t="inlineStr">
        <is>
          <t>Drawdown stressed: 15%</t>
        </is>
      </c>
      <c r="I45" s="20" t="inlineStr">
        <is>
          <t>Off-BS</t>
        </is>
      </c>
    </row>
    <row r="46" ht="18" customHeight="1">
      <c r="A46" s="224" t="inlineStr">
        <is>
          <t xml:space="preserve">  Hạn mức tín dụng chưa giải ngân — Corporate</t>
        </is>
      </c>
      <c r="B46" s="220" t="n">
        <v>3500</v>
      </c>
      <c r="C46" s="221" t="n">
        <v>0</v>
      </c>
      <c r="D46" s="15" t="inlineStr">
        <is>
          <t>O/N*</t>
        </is>
      </c>
      <c r="E46" s="15" t="inlineStr">
        <is>
          <t>N/A</t>
        </is>
      </c>
      <c r="F46" s="10" t="n">
        <v>1</v>
      </c>
      <c r="G46" s="16" t="n">
        <v>1</v>
      </c>
      <c r="H46" s="225" t="inlineStr">
        <is>
          <t>Drawdown stressed: 40%</t>
        </is>
      </c>
      <c r="I46" s="20" t="inlineStr">
        <is>
          <t>Off-BS</t>
        </is>
      </c>
    </row>
  </sheetData>
  <mergeCells count="14">
    <mergeCell ref="A25:I25"/>
    <mergeCell ref="A41:I41"/>
    <mergeCell ref="A2:I2"/>
    <mergeCell ref="A5:I5"/>
    <mergeCell ref="A44:I44"/>
    <mergeCell ref="A1:I1"/>
    <mergeCell ref="A17:I17"/>
    <mergeCell ref="A8:I8"/>
    <mergeCell ref="A6:I6"/>
    <mergeCell ref="A22:I22"/>
    <mergeCell ref="A34:I34"/>
    <mergeCell ref="A12:I12"/>
    <mergeCell ref="A26:I26"/>
    <mergeCell ref="A38:I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2" customHeight="1">
      <c r="A1" s="1" t="inlineStr">
        <is>
          <t>BEHAVIORAL PARAMETERS — THAM SỐ ĐIỀU CHỈNH HÀNH VI</t>
        </is>
      </c>
      <c r="B1" s="121" t="n"/>
      <c r="C1" s="121" t="n"/>
      <c r="D1" s="121" t="n"/>
      <c r="E1" s="121" t="n"/>
      <c r="F1" s="122" t="n"/>
    </row>
    <row r="2">
      <c r="A2" s="2" t="inlineStr">
        <is>
          <t>Ô màu vàng = INPUT có thể điều chỉnh theo đặc thù ngân hàng</t>
        </is>
      </c>
      <c r="B2" s="121" t="n"/>
      <c r="C2" s="121" t="n"/>
      <c r="D2" s="121" t="n"/>
      <c r="E2" s="121" t="n"/>
      <c r="F2" s="122" t="n"/>
    </row>
    <row r="4" ht="22" customHeight="1">
      <c r="A4" s="233" t="inlineStr">
        <is>
          <t>1. NMD — TIỀN GỬI KHÔNG KỲ HẠN / CASA</t>
        </is>
      </c>
      <c r="B4" s="121" t="n"/>
      <c r="C4" s="121" t="n"/>
      <c r="D4" s="121" t="n"/>
      <c r="E4" s="121" t="n"/>
      <c r="F4" s="122" t="n"/>
    </row>
    <row r="5" ht="20" customHeight="1">
      <c r="A5" s="3" t="inlineStr">
        <is>
          <t>Tham số</t>
        </is>
      </c>
      <c r="B5" s="3" t="inlineStr">
        <is>
          <t>CASA Retail</t>
        </is>
      </c>
      <c r="C5" s="3" t="inlineStr">
        <is>
          <t>CASA Corporate</t>
        </is>
      </c>
      <c r="D5" s="3" t="inlineStr">
        <is>
          <t>Savings NMD</t>
        </is>
      </c>
      <c r="F5" s="3" t="inlineStr">
        <is>
          <t>Ghi chú</t>
        </is>
      </c>
    </row>
    <row r="6" ht="18" customHeight="1">
      <c r="A6" s="224" t="inlineStr">
        <is>
          <t>Core stable %</t>
        </is>
      </c>
      <c r="B6" s="234" t="n">
        <v>0.65</v>
      </c>
      <c r="C6" s="234" t="n">
        <v>0.4</v>
      </c>
      <c r="D6" s="234" t="n">
        <v>0.55</v>
      </c>
      <c r="F6" s="225" t="inlineStr">
        <is>
          <t>% coi là long-term stable</t>
        </is>
      </c>
    </row>
    <row r="7" ht="18" customHeight="1">
      <c r="A7" s="219" t="inlineStr">
        <is>
          <t>Volatile %</t>
        </is>
      </c>
      <c r="B7" s="234" t="n">
        <v>0.35</v>
      </c>
      <c r="C7" s="234" t="n">
        <v>0.6</v>
      </c>
      <c r="D7" s="234" t="n">
        <v>0.45</v>
      </c>
      <c r="F7" s="223" t="inlineStr">
        <is>
          <t>Phần có thể rút ngay — overnight</t>
        </is>
      </c>
    </row>
    <row r="8" ht="18" customHeight="1">
      <c r="A8" s="224" t="inlineStr">
        <is>
          <t>Deposit beta</t>
        </is>
      </c>
      <c r="B8" s="234" t="n">
        <v>0.35</v>
      </c>
      <c r="C8" s="234" t="n">
        <v>0.85</v>
      </c>
      <c r="D8" s="234" t="n">
        <v>0.5</v>
      </c>
      <c r="F8" s="225" t="inlineStr">
        <is>
          <t>% lãi suất tiền gửi tăng khi lãi suất thị trường +100bps</t>
        </is>
      </c>
    </row>
    <row r="9" ht="18" customHeight="1">
      <c r="A9" s="219" t="inlineStr">
        <is>
          <t>Runoff rate — bình thường (tháng)</t>
        </is>
      </c>
      <c r="B9" s="234" t="n">
        <v>0.02</v>
      </c>
      <c r="C9" s="234" t="n">
        <v>0.05</v>
      </c>
      <c r="D9" s="234" t="n">
        <v>0.03</v>
      </c>
      <c r="F9" s="223" t="inlineStr">
        <is>
          <t>% rút ra mỗi tháng — thông thường</t>
        </is>
      </c>
    </row>
    <row r="10" ht="18" customHeight="1">
      <c r="A10" s="224" t="inlineStr">
        <is>
          <t>Runoff rate — stressed (30 ngày)</t>
        </is>
      </c>
      <c r="B10" s="234" t="n">
        <v>0.1</v>
      </c>
      <c r="C10" s="234" t="n">
        <v>0.25</v>
      </c>
      <c r="D10" s="234" t="n">
        <v>0.15</v>
      </c>
      <c r="F10" s="225" t="inlineStr">
        <is>
          <t>LCR outflow rate stressed</t>
        </is>
      </c>
    </row>
    <row r="12" ht="22" customHeight="1">
      <c r="A12" s="218" t="inlineStr">
        <is>
          <t>1b. REPLICATING PORTFOLIO — Phân bổ core stable theo tenor</t>
        </is>
      </c>
      <c r="B12" s="121" t="n"/>
      <c r="C12" s="121" t="n"/>
      <c r="D12" s="121" t="n"/>
      <c r="E12" s="121" t="n"/>
      <c r="F12" s="122" t="n"/>
    </row>
    <row r="13" ht="20" customHeight="1">
      <c r="A13" s="3" t="inlineStr">
        <is>
          <t>Tenor</t>
        </is>
      </c>
      <c r="B13" s="3" t="inlineStr">
        <is>
          <t>Weight %</t>
        </is>
      </c>
      <c r="F13" s="3" t="inlineStr">
        <is>
          <t>Ghi chú</t>
        </is>
      </c>
    </row>
    <row r="14" ht="18" customHeight="1">
      <c r="A14" s="224" t="inlineStr">
        <is>
          <t>1 năm</t>
        </is>
      </c>
      <c r="B14" s="234" t="n">
        <v>0.2</v>
      </c>
    </row>
    <row r="15" ht="18" customHeight="1">
      <c r="A15" s="219" t="inlineStr">
        <is>
          <t>2 năm</t>
        </is>
      </c>
      <c r="B15" s="234" t="n">
        <v>0.25</v>
      </c>
    </row>
    <row r="16" ht="18" customHeight="1">
      <c r="A16" s="224" t="inlineStr">
        <is>
          <t>3 năm</t>
        </is>
      </c>
      <c r="B16" s="234" t="n">
        <v>0.3</v>
      </c>
    </row>
    <row r="17" ht="18" customHeight="1">
      <c r="A17" s="219" t="inlineStr">
        <is>
          <t>4 năm</t>
        </is>
      </c>
      <c r="B17" s="234" t="n">
        <v>0.15</v>
      </c>
    </row>
    <row r="18" ht="18" customHeight="1">
      <c r="A18" s="224" t="inlineStr">
        <is>
          <t>5 năm</t>
        </is>
      </c>
      <c r="B18" s="234" t="n">
        <v>0.1</v>
      </c>
    </row>
    <row r="19">
      <c r="A19" s="23" t="inlineStr">
        <is>
          <t>TỔNG</t>
        </is>
      </c>
      <c r="B19" s="24">
        <f>SUM(B14:B18)</f>
        <v/>
      </c>
    </row>
    <row r="21" ht="22" customHeight="1">
      <c r="A21" s="233" t="inlineStr">
        <is>
          <t>2. TIỀN GỬI CÓ KỲ HẠN — Early Withdrawal &amp; Rollover Rates</t>
        </is>
      </c>
      <c r="B21" s="121" t="n"/>
      <c r="C21" s="121" t="n"/>
      <c r="D21" s="121" t="n"/>
      <c r="E21" s="121" t="n"/>
      <c r="F21" s="122" t="n"/>
    </row>
    <row r="22" ht="20" customHeight="1">
      <c r="A22" s="3" t="inlineStr">
        <is>
          <t>Tenor</t>
        </is>
      </c>
      <c r="B22" s="3" t="inlineStr">
        <is>
          <t>EWR bình thường</t>
        </is>
      </c>
      <c r="C22" s="3" t="inlineStr">
        <is>
          <t>EWR stressed</t>
        </is>
      </c>
      <c r="D22" s="3" t="inlineStr">
        <is>
          <t>Rollover rate</t>
        </is>
      </c>
      <c r="F22" s="3" t="inlineStr">
        <is>
          <t>Ghi chú</t>
        </is>
      </c>
    </row>
    <row r="23" ht="18" customHeight="1">
      <c r="A23" s="219" t="inlineStr">
        <is>
          <t>1 tháng</t>
        </is>
      </c>
      <c r="B23" s="234" t="n">
        <v>0.05</v>
      </c>
      <c r="C23" s="234" t="n">
        <v>0.2</v>
      </c>
      <c r="D23" s="234" t="n">
        <v>0.65</v>
      </c>
      <c r="F23" s="223" t="inlineStr">
        <is>
          <t>EWR = Early Withdrawal Rate</t>
        </is>
      </c>
    </row>
    <row r="24" ht="18" customHeight="1">
      <c r="A24" s="224" t="inlineStr">
        <is>
          <t>3 tháng</t>
        </is>
      </c>
      <c r="B24" s="234" t="n">
        <v>0.08</v>
      </c>
      <c r="C24" s="234" t="n">
        <v>0.25</v>
      </c>
      <c r="D24" s="234" t="n">
        <v>0.7</v>
      </c>
      <c r="F24" s="225" t="inlineStr"/>
    </row>
    <row r="25" ht="18" customHeight="1">
      <c r="A25" s="219" t="inlineStr">
        <is>
          <t>6 tháng</t>
        </is>
      </c>
      <c r="B25" s="234" t="n">
        <v>0.06</v>
      </c>
      <c r="C25" s="234" t="n">
        <v>0.2</v>
      </c>
      <c r="D25" s="234" t="n">
        <v>0.72</v>
      </c>
      <c r="F25" s="223" t="inlineStr"/>
    </row>
    <row r="26" ht="18" customHeight="1">
      <c r="A26" s="224" t="inlineStr">
        <is>
          <t>12 tháng</t>
        </is>
      </c>
      <c r="B26" s="234" t="n">
        <v>0.04</v>
      </c>
      <c r="C26" s="234" t="n">
        <v>0.15</v>
      </c>
      <c r="D26" s="234" t="n">
        <v>0.75</v>
      </c>
      <c r="F26" s="225" t="inlineStr"/>
    </row>
    <row r="27" ht="18" customHeight="1">
      <c r="A27" s="219" t="inlineStr">
        <is>
          <t>&gt;12 tháng</t>
        </is>
      </c>
      <c r="B27" s="234" t="n">
        <v>0.02</v>
      </c>
      <c r="C27" s="234" t="n">
        <v>0.1</v>
      </c>
      <c r="D27" s="234" t="n">
        <v>0.8</v>
      </c>
      <c r="F27" s="223" t="inlineStr"/>
    </row>
    <row r="29" ht="22" customHeight="1">
      <c r="A29" s="233" t="inlineStr">
        <is>
          <t>3. CAM KẾT NGOẠI BẢNG — Drawdown Rates</t>
        </is>
      </c>
      <c r="B29" s="121" t="n"/>
      <c r="C29" s="121" t="n"/>
      <c r="D29" s="121" t="n"/>
      <c r="E29" s="121" t="n"/>
      <c r="F29" s="122" t="n"/>
    </row>
    <row r="30" ht="20" customHeight="1">
      <c r="A30" s="3" t="inlineStr">
        <is>
          <t>Loại cam kết</t>
        </is>
      </c>
      <c r="B30" s="3" t="inlineStr">
        <is>
          <t>Drawdown bình thường</t>
        </is>
      </c>
      <c r="C30" s="3" t="inlineStr">
        <is>
          <t>Drawdown stressed</t>
        </is>
      </c>
      <c r="D30" s="3" t="inlineStr">
        <is>
          <t>Drawdown severe</t>
        </is>
      </c>
      <c r="F30" s="3" t="inlineStr">
        <is>
          <t>Ghi chú</t>
        </is>
      </c>
    </row>
    <row r="31" ht="18" customHeight="1">
      <c r="A31" s="219" t="inlineStr">
        <is>
          <t>Hạn mức OD — Retail</t>
        </is>
      </c>
      <c r="B31" s="234" t="n">
        <v>0.1</v>
      </c>
      <c r="C31" s="234" t="n">
        <v>0.15</v>
      </c>
      <c r="D31" s="234" t="n">
        <v>0.3</v>
      </c>
      <c r="F31" s="223" t="inlineStr">
        <is>
          <t>LCR: 5% committed revolving</t>
        </is>
      </c>
    </row>
    <row r="32" ht="18" customHeight="1">
      <c r="A32" s="224" t="inlineStr">
        <is>
          <t>Hạn mức tín dụng — Corp</t>
        </is>
      </c>
      <c r="B32" s="234" t="n">
        <v>0.25</v>
      </c>
      <c r="C32" s="234" t="n">
        <v>0.4</v>
      </c>
      <c r="D32" s="234" t="n">
        <v>0.75</v>
      </c>
      <c r="F32" s="225" t="inlineStr">
        <is>
          <t>LCR: 10% committed</t>
        </is>
      </c>
    </row>
    <row r="33" ht="18" customHeight="1">
      <c r="A33" s="219" t="inlineStr">
        <is>
          <t>Trade finance</t>
        </is>
      </c>
      <c r="B33" s="234" t="n">
        <v>0.15</v>
      </c>
      <c r="C33" s="234" t="n">
        <v>0.2</v>
      </c>
      <c r="D33" s="234" t="n">
        <v>0.4</v>
      </c>
      <c r="F33" s="223" t="inlineStr"/>
    </row>
    <row r="34" ht="18" customHeight="1">
      <c r="A34" s="224" t="inlineStr">
        <is>
          <t>Bảo lãnh phát hành</t>
        </is>
      </c>
      <c r="B34" s="234" t="n">
        <v>0.05</v>
      </c>
      <c r="C34" s="234" t="n">
        <v>0.1</v>
      </c>
      <c r="D34" s="234" t="n">
        <v>0.25</v>
      </c>
      <c r="F34" s="225" t="inlineStr"/>
    </row>
    <row r="36" ht="40" customHeight="1">
      <c r="A36" s="25" t="inlineStr">
        <is>
          <t>SVB 2023: wholesale deposits (VC/PE fund) có beta ~100% — khi lãi suất tăng, toàn bộ outflow gần như ngay lập tức. Đây là lý do behavioral assumption phải được calibrate theo profile khách hàng thực tế.</t>
        </is>
      </c>
      <c r="B36" s="121" t="n"/>
      <c r="C36" s="121" t="n"/>
      <c r="D36" s="121" t="n"/>
      <c r="E36" s="121" t="n"/>
      <c r="F36" s="122" t="n"/>
    </row>
  </sheetData>
  <mergeCells count="7">
    <mergeCell ref="A2:F2"/>
    <mergeCell ref="A36:F36"/>
    <mergeCell ref="A1:F1"/>
    <mergeCell ref="A12:F12"/>
    <mergeCell ref="A4:F4"/>
    <mergeCell ref="A21:F21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K3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CASHFLOW LADDER — FUNDING GAP (BEHAVIORAL ADJUSTED)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2" t="n"/>
    </row>
    <row r="2">
      <c r="A2" s="26" t="inlineStr">
        <is>
          <t>[C] = Contractual (trước điều chỉnh)  |  [B] = Behavioral (sau điều chỉnh)  |  Gap âm = cần trám nguồn  |  Gap dương = thặng dư có thể deploy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2" t="n"/>
    </row>
    <row r="4" ht="22" customHeight="1">
      <c r="A4" s="27" t="inlineStr">
        <is>
          <t>Khoản mục</t>
        </is>
      </c>
      <c r="B4" s="3" t="inlineStr">
        <is>
          <t>O/N</t>
        </is>
      </c>
      <c r="C4" s="3" t="inlineStr">
        <is>
          <t>1W</t>
        </is>
      </c>
      <c r="D4" s="3" t="inlineStr">
        <is>
          <t>1M</t>
        </is>
      </c>
      <c r="E4" s="3" t="inlineStr">
        <is>
          <t>3M</t>
        </is>
      </c>
      <c r="F4" s="3" t="inlineStr">
        <is>
          <t>6M</t>
        </is>
      </c>
      <c r="G4" s="3" t="inlineStr">
        <is>
          <t>1Y</t>
        </is>
      </c>
      <c r="H4" s="3" t="inlineStr">
        <is>
          <t>&gt;1Y</t>
        </is>
      </c>
      <c r="I4" s="3" t="inlineStr">
        <is>
          <t>TỔNG</t>
        </is>
      </c>
    </row>
    <row r="5" ht="14" customHeight="1">
      <c r="A5" s="28" t="n"/>
      <c r="B5" s="29" t="inlineStr">
        <is>
          <t>(1d)</t>
        </is>
      </c>
      <c r="C5" s="29" t="inlineStr">
        <is>
          <t>(7d)</t>
        </is>
      </c>
      <c r="D5" s="29" t="inlineStr">
        <is>
          <t>(30d)</t>
        </is>
      </c>
      <c r="E5" s="29" t="inlineStr">
        <is>
          <t>(90d)</t>
        </is>
      </c>
      <c r="F5" s="29" t="inlineStr">
        <is>
          <t>(180d)</t>
        </is>
      </c>
      <c r="G5" s="29" t="inlineStr">
        <is>
          <t>(365d)</t>
        </is>
      </c>
      <c r="H5" s="29" t="inlineStr">
        <is>
          <t>(730d)</t>
        </is>
      </c>
      <c r="I5" s="29" t="inlineStr"/>
    </row>
    <row r="6" ht="22" customHeight="1">
      <c r="A6" s="233" t="inlineStr">
        <is>
          <t>INFLOWS — TÀI SẢN ĐÁO HẠN / THU LÃI</t>
        </is>
      </c>
      <c r="B6" s="121" t="n"/>
      <c r="C6" s="121" t="n"/>
      <c r="D6" s="121" t="n"/>
      <c r="E6" s="121" t="n"/>
      <c r="F6" s="121" t="n"/>
      <c r="G6" s="121" t="n"/>
      <c r="H6" s="121" t="n"/>
      <c r="I6" s="122" t="n"/>
    </row>
    <row r="7" ht="18" customHeight="1">
      <c r="A7" s="224" t="inlineStr">
        <is>
          <t>[C] Gửi LNH &amp; tiền tương đương</t>
        </is>
      </c>
      <c r="B7" s="30" t="n">
        <v>2500</v>
      </c>
      <c r="C7" s="30" t="n">
        <v>800</v>
      </c>
      <c r="D7" s="30" t="n">
        <v>600</v>
      </c>
      <c r="E7" s="30" t="n">
        <v>0</v>
      </c>
      <c r="F7" s="30" t="n">
        <v>0</v>
      </c>
      <c r="G7" s="30" t="n">
        <v>0</v>
      </c>
      <c r="H7" s="30" t="n">
        <v>0</v>
      </c>
      <c r="I7" s="30" t="n">
        <v>3900</v>
      </c>
    </row>
    <row r="8" ht="18" customHeight="1">
      <c r="A8" s="224" t="inlineStr">
        <is>
          <t>[C] Cho vay đến hạn repricing</t>
        </is>
      </c>
      <c r="B8" s="30" t="n">
        <v>0</v>
      </c>
      <c r="C8" s="30" t="n">
        <v>0</v>
      </c>
      <c r="D8" s="30" t="n">
        <v>0</v>
      </c>
      <c r="E8" s="30" t="n">
        <v>15000</v>
      </c>
      <c r="F8" s="30" t="n">
        <v>10000</v>
      </c>
      <c r="G8" s="30" t="n">
        <v>8000</v>
      </c>
      <c r="H8" s="30" t="n">
        <v>20000</v>
      </c>
      <c r="I8" s="30" t="n">
        <v>53000</v>
      </c>
    </row>
    <row r="9" ht="18" customHeight="1">
      <c r="A9" s="224" t="inlineStr">
        <is>
          <t>[C] Chứng khoán đáo hạn</t>
        </is>
      </c>
      <c r="B9" s="30" t="n">
        <v>0</v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3000</v>
      </c>
      <c r="H9" s="30" t="n">
        <v>11000</v>
      </c>
      <c r="I9" s="30" t="n">
        <v>14000</v>
      </c>
    </row>
    <row r="10" ht="18" customHeight="1">
      <c r="A10" s="224" t="inlineStr">
        <is>
          <t>[C] Thu lãi dự kiến</t>
        </is>
      </c>
      <c r="B10" s="30" t="n">
        <v>200</v>
      </c>
      <c r="C10" s="30" t="n">
        <v>250</v>
      </c>
      <c r="D10" s="30" t="n">
        <v>800</v>
      </c>
      <c r="E10" s="30" t="n">
        <v>1800</v>
      </c>
      <c r="F10" s="30" t="n">
        <v>2000</v>
      </c>
      <c r="G10" s="30" t="n">
        <v>2500</v>
      </c>
      <c r="H10" s="30" t="n">
        <v>3000</v>
      </c>
      <c r="I10" s="30" t="n">
        <v>10550</v>
      </c>
    </row>
    <row r="11" ht="14" customHeight="1">
      <c r="A11" s="31" t="inlineStr">
        <is>
          <t xml:space="preserve">  [B] Điều chỉnh behavioral: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2" t="n"/>
    </row>
    <row r="12" ht="18" customHeight="1">
      <c r="A12" s="32" t="inlineStr">
        <is>
          <t>[B] CASA core stable kéo dài</t>
        </is>
      </c>
      <c r="B12" s="33" t="n">
        <v>0</v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2100</v>
      </c>
      <c r="H12" s="33" t="n">
        <v>4900</v>
      </c>
      <c r="I12" s="33" t="n">
        <v>7000</v>
      </c>
    </row>
    <row r="13" ht="18" customHeight="1">
      <c r="A13" s="32" t="inlineStr">
        <is>
          <t>[B] Drawdown hạn mức (outflow âm)</t>
        </is>
      </c>
      <c r="B13" s="33" t="n">
        <v>-225</v>
      </c>
      <c r="C13" s="33" t="n">
        <v>-350</v>
      </c>
      <c r="D13" s="33" t="n">
        <v>-350</v>
      </c>
      <c r="E13" s="33" t="n">
        <v>0</v>
      </c>
      <c r="F13" s="33" t="n">
        <v>0</v>
      </c>
      <c r="G13" s="33" t="n">
        <v>0</v>
      </c>
      <c r="H13" s="33" t="n">
        <v>0</v>
      </c>
      <c r="I13" s="33" t="n">
        <v>-925</v>
      </c>
    </row>
    <row r="14" ht="18" customHeight="1">
      <c r="A14" s="5" t="inlineStr">
        <is>
          <t>TỔNG INFLOWS [Behavioral]</t>
        </is>
      </c>
      <c r="B14" s="294">
        <f>SUM(B7:B13)</f>
        <v/>
      </c>
      <c r="C14" s="294">
        <f>SUM(C7:C13)</f>
        <v/>
      </c>
      <c r="D14" s="294">
        <f>SUM(D7:D13)</f>
        <v/>
      </c>
      <c r="E14" s="294">
        <f>SUM(E7:E13)</f>
        <v/>
      </c>
      <c r="F14" s="294">
        <f>SUM(F7:F13)</f>
        <v/>
      </c>
      <c r="G14" s="294">
        <f>SUM(G7:G13)</f>
        <v/>
      </c>
      <c r="H14" s="294">
        <f>SUM(H7:H13)</f>
        <v/>
      </c>
      <c r="I14" s="294">
        <f>SUM(B14:H14)</f>
        <v/>
      </c>
    </row>
    <row r="15" ht="5" customHeight="1"/>
    <row r="16" ht="22" customHeight="1">
      <c r="A16" s="233" t="inlineStr">
        <is>
          <t>OUTFLOWS — NỢ ĐÁO HẠN / TRẢ LÃI</t>
        </is>
      </c>
      <c r="B16" s="121" t="n"/>
      <c r="C16" s="121" t="n"/>
      <c r="D16" s="121" t="n"/>
      <c r="E16" s="121" t="n"/>
      <c r="F16" s="121" t="n"/>
      <c r="G16" s="121" t="n"/>
      <c r="H16" s="121" t="n"/>
      <c r="I16" s="122" t="n"/>
    </row>
    <row r="17" ht="18" customHeight="1">
      <c r="A17" s="224" t="inlineStr">
        <is>
          <t>[C] Tiền gửi CASA — contractual O/N</t>
        </is>
      </c>
      <c r="B17" s="30" t="n">
        <v>10000</v>
      </c>
      <c r="C17" s="30" t="n">
        <v>0</v>
      </c>
      <c r="D17" s="30" t="n">
        <v>0</v>
      </c>
      <c r="E17" s="30" t="n">
        <v>0</v>
      </c>
      <c r="F17" s="30" t="n">
        <v>0</v>
      </c>
      <c r="G17" s="30" t="n">
        <v>0</v>
      </c>
      <c r="H17" s="30" t="n">
        <v>0</v>
      </c>
      <c r="I17" s="30" t="n">
        <v>10000</v>
      </c>
    </row>
    <row r="18" ht="18" customHeight="1">
      <c r="A18" s="224" t="inlineStr">
        <is>
          <t>[C] Tiền gửi có kỳ hạn đáo hạn</t>
        </is>
      </c>
      <c r="B18" s="30" t="n">
        <v>0</v>
      </c>
      <c r="C18" s="30" t="n">
        <v>0</v>
      </c>
      <c r="D18" s="30" t="n">
        <v>5000</v>
      </c>
      <c r="E18" s="30" t="n">
        <v>8000</v>
      </c>
      <c r="F18" s="30" t="n">
        <v>12000</v>
      </c>
      <c r="G18" s="30" t="n">
        <v>10000</v>
      </c>
      <c r="H18" s="30" t="n">
        <v>5000</v>
      </c>
      <c r="I18" s="30" t="n">
        <v>40000</v>
      </c>
    </row>
    <row r="19" ht="18" customHeight="1">
      <c r="A19" s="224" t="inlineStr">
        <is>
          <t>[C] Vay LNH đáo hạn</t>
        </is>
      </c>
      <c r="B19" s="30" t="n">
        <v>1000</v>
      </c>
      <c r="C19" s="30" t="n">
        <v>2000</v>
      </c>
      <c r="D19" s="30" t="n">
        <v>1500</v>
      </c>
      <c r="E19" s="30" t="n">
        <v>0</v>
      </c>
      <c r="F19" s="30" t="n">
        <v>0</v>
      </c>
      <c r="G19" s="30" t="n">
        <v>0</v>
      </c>
      <c r="H19" s="30" t="n">
        <v>0</v>
      </c>
      <c r="I19" s="30" t="n">
        <v>4500</v>
      </c>
    </row>
    <row r="20" ht="18" customHeight="1">
      <c r="A20" s="224" t="inlineStr">
        <is>
          <t>[C] Trả lãi dự kiến</t>
        </is>
      </c>
      <c r="B20" s="30" t="n">
        <v>80</v>
      </c>
      <c r="C20" s="30" t="n">
        <v>120</v>
      </c>
      <c r="D20" s="30" t="n">
        <v>450</v>
      </c>
      <c r="E20" s="30" t="n">
        <v>800</v>
      </c>
      <c r="F20" s="30" t="n">
        <v>1200</v>
      </c>
      <c r="G20" s="30" t="n">
        <v>1500</v>
      </c>
      <c r="H20" s="30" t="n">
        <v>1000</v>
      </c>
      <c r="I20" s="30" t="n">
        <v>5150</v>
      </c>
    </row>
    <row r="21" ht="14" customHeight="1">
      <c r="A21" s="31" t="inlineStr">
        <is>
          <t xml:space="preserve">  [B] Điều chỉnh behavioral:</t>
        </is>
      </c>
      <c r="B21" s="121" t="n"/>
      <c r="C21" s="121" t="n"/>
      <c r="D21" s="121" t="n"/>
      <c r="E21" s="121" t="n"/>
      <c r="F21" s="121" t="n"/>
      <c r="G21" s="121" t="n"/>
      <c r="H21" s="121" t="n"/>
      <c r="I21" s="122" t="n"/>
    </row>
    <row r="22" ht="18" customHeight="1">
      <c r="A22" s="32" t="inlineStr">
        <is>
          <t>[B] Trừ CASA core stable (kéo dài)</t>
        </is>
      </c>
      <c r="B22" s="33" t="n">
        <v>-6500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0</v>
      </c>
      <c r="I22" s="33" t="n">
        <v>-6500</v>
      </c>
    </row>
    <row r="23" ht="18" customHeight="1">
      <c r="A23" s="32" t="inlineStr">
        <is>
          <t>[B] Trừ rollover tiền gửi (70%)</t>
        </is>
      </c>
      <c r="B23" s="33" t="n">
        <v>0</v>
      </c>
      <c r="C23" s="33" t="n">
        <v>0</v>
      </c>
      <c r="D23" s="33" t="n">
        <v>-3500</v>
      </c>
      <c r="E23" s="33" t="n">
        <v>-5600</v>
      </c>
      <c r="F23" s="33" t="n">
        <v>-8400</v>
      </c>
      <c r="G23" s="33" t="n">
        <v>-7000</v>
      </c>
      <c r="H23" s="33" t="n">
        <v>-3500</v>
      </c>
      <c r="I23" s="33" t="n">
        <v>-28000</v>
      </c>
    </row>
    <row r="24" ht="18" customHeight="1">
      <c r="A24" s="32" t="inlineStr">
        <is>
          <t>[B] Cộng EWR (rút trước hạn)</t>
        </is>
      </c>
      <c r="B24" s="33" t="n">
        <v>0</v>
      </c>
      <c r="C24" s="33" t="n">
        <v>0</v>
      </c>
      <c r="D24" s="33" t="n">
        <v>400</v>
      </c>
      <c r="E24" s="33" t="n">
        <v>600</v>
      </c>
      <c r="F24" s="33" t="n">
        <v>720</v>
      </c>
      <c r="G24" s="33" t="n">
        <v>400</v>
      </c>
      <c r="H24" s="33" t="n">
        <v>100</v>
      </c>
      <c r="I24" s="33" t="n">
        <v>2220</v>
      </c>
    </row>
    <row r="25" ht="18" customHeight="1">
      <c r="A25" s="35" t="inlineStr">
        <is>
          <t>TỔNG OUTFLOWS [Behavioral]</t>
        </is>
      </c>
      <c r="B25" s="235">
        <f>SUM(B17:B24)</f>
        <v/>
      </c>
      <c r="C25" s="235">
        <f>SUM(C17:C24)</f>
        <v/>
      </c>
      <c r="D25" s="235">
        <f>SUM(D17:D24)</f>
        <v/>
      </c>
      <c r="E25" s="235">
        <f>SUM(E17:E24)</f>
        <v/>
      </c>
      <c r="F25" s="235">
        <f>SUM(F17:F24)</f>
        <v/>
      </c>
      <c r="G25" s="235">
        <f>SUM(G17:G24)</f>
        <v/>
      </c>
      <c r="H25" s="235">
        <f>SUM(H17:H24)</f>
        <v/>
      </c>
      <c r="I25" s="235">
        <f>SUM(B25:H25)</f>
        <v/>
      </c>
    </row>
    <row r="26" ht="5" customHeight="1"/>
    <row r="27" ht="22" customHeight="1">
      <c r="A27" s="233" t="inlineStr">
        <is>
          <t>NET FUNDING GAP &amp; CUMULATIVE</t>
        </is>
      </c>
      <c r="B27" s="121" t="n"/>
      <c r="C27" s="121" t="n"/>
      <c r="D27" s="121" t="n"/>
      <c r="E27" s="121" t="n"/>
      <c r="F27" s="121" t="n"/>
      <c r="G27" s="121" t="n"/>
      <c r="H27" s="121" t="n"/>
      <c r="I27" s="122" t="n"/>
    </row>
    <row r="28" ht="18" customHeight="1">
      <c r="A28" s="37" t="inlineStr">
        <is>
          <t>NET GAP mỗi bucket = INFLOWS − OUTFLOWS</t>
        </is>
      </c>
      <c r="B28" s="295">
        <f>B14-B25</f>
        <v/>
      </c>
      <c r="C28" s="295">
        <f>C14-C25</f>
        <v/>
      </c>
      <c r="D28" s="295">
        <f>D14-D25</f>
        <v/>
      </c>
      <c r="E28" s="296">
        <f>E14-E25</f>
        <v/>
      </c>
      <c r="F28" s="296">
        <f>F14-F25</f>
        <v/>
      </c>
      <c r="G28" s="296">
        <f>G14-G25</f>
        <v/>
      </c>
      <c r="H28" s="296">
        <f>H14-H25</f>
        <v/>
      </c>
      <c r="I28" s="297">
        <f>SUM(B28:H28)</f>
        <v/>
      </c>
    </row>
    <row r="29" ht="18" customHeight="1">
      <c r="A29" s="39" t="inlineStr">
        <is>
          <t>CUMULATIVE GAP</t>
        </is>
      </c>
      <c r="B29" s="298">
        <f>B28</f>
        <v/>
      </c>
      <c r="C29" s="298">
        <f>B29+C28</f>
        <v/>
      </c>
      <c r="D29" s="298">
        <f>C29+D28</f>
        <v/>
      </c>
      <c r="E29" s="298">
        <f>D29+E28</f>
        <v/>
      </c>
      <c r="F29" s="298">
        <f>E29+F28</f>
        <v/>
      </c>
      <c r="G29" s="298">
        <f>F29+G28</f>
        <v/>
      </c>
      <c r="H29" s="298">
        <f>G29+H28</f>
        <v/>
      </c>
      <c r="I29" s="299">
        <f>H29</f>
        <v/>
      </c>
    </row>
    <row r="30" ht="5" customHeight="1"/>
    <row r="31" ht="22" customHeight="1">
      <c r="A31" s="233" t="inlineStr">
        <is>
          <t>PHẦN GAP ÂM (chỉ lấy số âm) — cần trám nguồn</t>
        </is>
      </c>
      <c r="B31" s="121" t="n"/>
      <c r="C31" s="121" t="n"/>
      <c r="D31" s="121" t="n"/>
      <c r="E31" s="121" t="n"/>
      <c r="F31" s="121" t="n"/>
      <c r="G31" s="121" t="n"/>
      <c r="H31" s="121" t="n"/>
      <c r="I31" s="122" t="n"/>
    </row>
    <row r="32" ht="18" customHeight="1">
      <c r="A32" s="35" t="inlineStr">
        <is>
          <t>Funding gap cần trám</t>
        </is>
      </c>
      <c r="B32" s="197">
        <f>MIN(0,B28)</f>
        <v/>
      </c>
      <c r="C32" s="197">
        <f>MIN(0,C28)</f>
        <v/>
      </c>
      <c r="D32" s="197">
        <f>MIN(0,D28)</f>
        <v/>
      </c>
      <c r="E32" s="197">
        <f>MIN(0,E28)</f>
        <v/>
      </c>
      <c r="F32" s="197">
        <f>MIN(0,F28)</f>
        <v/>
      </c>
      <c r="G32" s="197">
        <f>MIN(0,G28)</f>
        <v/>
      </c>
      <c r="H32" s="197">
        <f>MIN(0,H28)</f>
        <v/>
      </c>
      <c r="I32" s="235">
        <f>SUM(B32:H32)</f>
        <v/>
      </c>
    </row>
  </sheetData>
  <mergeCells count="10">
    <mergeCell ref="A11:I11"/>
    <mergeCell ref="A4"/>
    <mergeCell ref="A4:A5"/>
    <mergeCell ref="A2:K2"/>
    <mergeCell ref="A27:I27"/>
    <mergeCell ref="A31:I31"/>
    <mergeCell ref="A6:I6"/>
    <mergeCell ref="A1:K1"/>
    <mergeCell ref="A21:I21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6000"/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6" customWidth="1" min="9" max="9"/>
    <col width="22" customWidth="1" min="10" max="10"/>
  </cols>
  <sheetData>
    <row r="1" ht="32" customHeight="1">
      <c r="A1" s="1" t="inlineStr">
        <is>
          <t>LIQUIDITY SPREAD SCENARIO MATRIX — MA TRẬN KỊCH BẢN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2" t="n"/>
    </row>
    <row r="2">
      <c r="A2" s="2" t="inlineStr">
        <is>
          <t>Ô màu vàng = INPUT  |  Công thức = tính tự động  |  Spread tính bằng basis points (bps)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2" t="n"/>
    </row>
    <row r="4" ht="22" customHeight="1">
      <c r="A4" s="233" t="inlineStr">
        <is>
          <t>1. LÃI SUẤT CƠ SỞ THEO TENOR (Base Rate)</t>
        </is>
      </c>
      <c r="B4" s="121" t="n"/>
      <c r="C4" s="121" t="n"/>
      <c r="D4" s="121" t="n"/>
      <c r="E4" s="121" t="n"/>
      <c r="F4" s="121" t="n"/>
      <c r="G4" s="121" t="n"/>
      <c r="H4" s="121" t="n"/>
      <c r="I4" s="121" t="n"/>
      <c r="J4" s="122" t="n"/>
    </row>
    <row r="5" ht="20" customHeight="1">
      <c r="A5" s="3" t="inlineStr">
        <is>
          <t>Tenor</t>
        </is>
      </c>
      <c r="B5" s="3" t="inlineStr">
        <is>
          <t>Base Rate %</t>
        </is>
      </c>
      <c r="C5" s="3" t="inlineStr">
        <is>
          <t>Nguồn tham chiếu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18" customHeight="1">
      <c r="A6" s="41" t="inlineStr">
        <is>
          <t>O/N</t>
        </is>
      </c>
      <c r="B6" s="221" t="n">
        <v>0.042</v>
      </c>
      <c r="C6" s="225" t="inlineStr">
        <is>
          <t>SBV O/N lending rate</t>
        </is>
      </c>
      <c r="D6" s="121" t="n"/>
      <c r="E6" s="121" t="n"/>
      <c r="F6" s="121" t="n"/>
      <c r="G6" s="121" t="n"/>
      <c r="H6" s="121" t="n"/>
      <c r="I6" s="121" t="n"/>
      <c r="J6" s="122" t="n"/>
    </row>
    <row r="7" ht="18" customHeight="1">
      <c r="A7" s="37" t="inlineStr">
        <is>
          <t>1W</t>
        </is>
      </c>
      <c r="B7" s="221" t="n">
        <v>0.044</v>
      </c>
      <c r="C7" s="223" t="inlineStr">
        <is>
          <t>VNIBOR 1W</t>
        </is>
      </c>
      <c r="D7" s="121" t="n"/>
      <c r="E7" s="121" t="n"/>
      <c r="F7" s="121" t="n"/>
      <c r="G7" s="121" t="n"/>
      <c r="H7" s="121" t="n"/>
      <c r="I7" s="121" t="n"/>
      <c r="J7" s="122" t="n"/>
    </row>
    <row r="8" ht="18" customHeight="1">
      <c r="A8" s="41" t="inlineStr">
        <is>
          <t>1M</t>
        </is>
      </c>
      <c r="B8" s="221" t="n">
        <v>0.048</v>
      </c>
      <c r="C8" s="225" t="inlineStr">
        <is>
          <t>VNIBOR 1M</t>
        </is>
      </c>
      <c r="D8" s="121" t="n"/>
      <c r="E8" s="121" t="n"/>
      <c r="F8" s="121" t="n"/>
      <c r="G8" s="121" t="n"/>
      <c r="H8" s="121" t="n"/>
      <c r="I8" s="121" t="n"/>
      <c r="J8" s="122" t="n"/>
    </row>
    <row r="9" ht="18" customHeight="1">
      <c r="A9" s="37" t="inlineStr">
        <is>
          <t>3M</t>
        </is>
      </c>
      <c r="B9" s="221" t="n">
        <v>0.05</v>
      </c>
      <c r="C9" s="223" t="inlineStr">
        <is>
          <t>VNIBOR 3M</t>
        </is>
      </c>
      <c r="D9" s="121" t="n"/>
      <c r="E9" s="121" t="n"/>
      <c r="F9" s="121" t="n"/>
      <c r="G9" s="121" t="n"/>
      <c r="H9" s="121" t="n"/>
      <c r="I9" s="121" t="n"/>
      <c r="J9" s="122" t="n"/>
    </row>
    <row r="10" ht="18" customHeight="1">
      <c r="A10" s="41" t="inlineStr">
        <is>
          <t>6M</t>
        </is>
      </c>
      <c r="B10" s="221" t="n">
        <v>0.055</v>
      </c>
      <c r="C10" s="225" t="inlineStr">
        <is>
          <t>VNIBOR 6M</t>
        </is>
      </c>
      <c r="D10" s="121" t="n"/>
      <c r="E10" s="121" t="n"/>
      <c r="F10" s="121" t="n"/>
      <c r="G10" s="121" t="n"/>
      <c r="H10" s="121" t="n"/>
      <c r="I10" s="121" t="n"/>
      <c r="J10" s="122" t="n"/>
    </row>
    <row r="11" ht="18" customHeight="1">
      <c r="A11" s="37" t="inlineStr">
        <is>
          <t>1Y</t>
        </is>
      </c>
      <c r="B11" s="221" t="n">
        <v>0.06</v>
      </c>
      <c r="C11" s="223" t="inlineStr">
        <is>
          <t>VNIBOR 12M</t>
        </is>
      </c>
      <c r="D11" s="121" t="n"/>
      <c r="E11" s="121" t="n"/>
      <c r="F11" s="121" t="n"/>
      <c r="G11" s="121" t="n"/>
      <c r="H11" s="121" t="n"/>
      <c r="I11" s="121" t="n"/>
      <c r="J11" s="122" t="n"/>
    </row>
    <row r="12" ht="18" customHeight="1">
      <c r="A12" s="41" t="inlineStr">
        <is>
          <t>&gt;1Y</t>
        </is>
      </c>
      <c r="B12" s="221" t="n">
        <v>0.065</v>
      </c>
      <c r="C12" s="225" t="inlineStr">
        <is>
          <t>Bond yield / IRS</t>
        </is>
      </c>
      <c r="D12" s="121" t="n"/>
      <c r="E12" s="121" t="n"/>
      <c r="F12" s="121" t="n"/>
      <c r="G12" s="121" t="n"/>
      <c r="H12" s="121" t="n"/>
      <c r="I12" s="121" t="n"/>
      <c r="J12" s="122" t="n"/>
    </row>
    <row r="14" ht="22" customHeight="1">
      <c r="A14" s="233" t="inlineStr">
        <is>
          <t>2. ĐỊNH NGHĨA 4 SCENARIOS</t>
        </is>
      </c>
      <c r="B14" s="121" t="n"/>
      <c r="C14" s="121" t="n"/>
      <c r="D14" s="121" t="n"/>
      <c r="E14" s="121" t="n"/>
      <c r="F14" s="121" t="n"/>
      <c r="G14" s="121" t="n"/>
      <c r="H14" s="121" t="n"/>
      <c r="I14" s="121" t="n"/>
      <c r="J14" s="122" t="n"/>
    </row>
    <row r="15" ht="20" customHeight="1">
      <c r="A15" s="3" t="inlineStr">
        <is>
          <t>Scenario</t>
        </is>
      </c>
      <c r="B15" s="3" t="inlineStr">
        <is>
          <t>Outflow thêm</t>
        </is>
      </c>
      <c r="C15" s="3" t="inlineStr">
        <is>
          <t>Mô tả điều kiện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 ht="18" customHeight="1">
      <c r="A16" s="281" t="inlineStr">
        <is>
          <t>Baseline</t>
        </is>
      </c>
      <c r="B16" s="281" t="inlineStr">
        <is>
          <t>0%</t>
        </is>
      </c>
      <c r="C16" s="43" t="inlineStr">
        <is>
          <t>Thị trường bình thường, ngân hàng funding bình thường</t>
        </is>
      </c>
      <c r="D16" s="121" t="n"/>
      <c r="E16" s="121" t="n"/>
      <c r="F16" s="121" t="n"/>
      <c r="G16" s="121" t="n"/>
      <c r="H16" s="121" t="n"/>
      <c r="I16" s="121" t="n"/>
      <c r="J16" s="122" t="n"/>
    </row>
    <row r="17" ht="18" customHeight="1">
      <c r="A17" s="285" t="inlineStr">
        <is>
          <t>Tight</t>
        </is>
      </c>
      <c r="B17" s="285" t="inlineStr">
        <is>
          <t>+5%</t>
        </is>
      </c>
      <c r="C17" s="43" t="inlineStr">
        <is>
          <t>Hệ thống căng nhẹ, SBV bơm OMO, spread tăng nhẹ</t>
        </is>
      </c>
      <c r="D17" s="121" t="n"/>
      <c r="E17" s="121" t="n"/>
      <c r="F17" s="121" t="n"/>
      <c r="G17" s="121" t="n"/>
      <c r="H17" s="121" t="n"/>
      <c r="I17" s="121" t="n"/>
      <c r="J17" s="122" t="n"/>
    </row>
    <row r="18" ht="18" customHeight="1">
      <c r="A18" s="288" t="inlineStr">
        <is>
          <t>Stressed</t>
        </is>
      </c>
      <c r="B18" s="288" t="inlineStr">
        <is>
          <t>+15%</t>
        </is>
      </c>
      <c r="C18" s="43" t="inlineStr">
        <is>
          <t>Bank bị nghi ngờ, counterparty cắt hạn mức, phải phát hành CD gấp</t>
        </is>
      </c>
      <c r="D18" s="121" t="n"/>
      <c r="E18" s="121" t="n"/>
      <c r="F18" s="121" t="n"/>
      <c r="G18" s="121" t="n"/>
      <c r="H18" s="121" t="n"/>
      <c r="I18" s="121" t="n"/>
      <c r="J18" s="122" t="n"/>
    </row>
    <row r="19" ht="18" customHeight="1">
      <c r="A19" s="290" t="inlineStr">
        <is>
          <t>Severe</t>
        </is>
      </c>
      <c r="B19" s="290" t="inlineStr">
        <is>
          <t>+30%</t>
        </is>
      </c>
      <c r="C19" s="43" t="inlineStr">
        <is>
          <t>Thị trường đóng băng, bán tài sản gấp / SBV ELA</t>
        </is>
      </c>
      <c r="D19" s="121" t="n"/>
      <c r="E19" s="121" t="n"/>
      <c r="F19" s="121" t="n"/>
      <c r="G19" s="121" t="n"/>
      <c r="H19" s="121" t="n"/>
      <c r="I19" s="121" t="n"/>
      <c r="J19" s="122" t="n"/>
    </row>
    <row r="20"/>
    <row r="21" ht="22" customHeight="1">
      <c r="A21" s="233" t="inlineStr">
        <is>
          <t>3. LIQUIDITY SPREAD THEO TENOR &amp; SCENARIO (bps)</t>
        </is>
      </c>
      <c r="B21" s="121" t="n"/>
      <c r="C21" s="121" t="n"/>
      <c r="D21" s="121" t="n"/>
      <c r="E21" s="121" t="n"/>
      <c r="F21" s="121" t="n"/>
      <c r="G21" s="121" t="n"/>
      <c r="H21" s="121" t="n"/>
      <c r="I21" s="121" t="n"/>
      <c r="J21" s="122" t="n"/>
    </row>
    <row r="22" ht="32" customHeight="1">
      <c r="A22" s="3" t="inlineStr">
        <is>
          <t>Tenor</t>
        </is>
      </c>
      <c r="B22" s="3" t="inlineStr">
        <is>
          <t>Base Rate</t>
        </is>
      </c>
      <c r="C22" s="3" t="inlineStr">
        <is>
          <t>Baseline
+bps</t>
        </is>
      </c>
      <c r="D22" s="3" t="inlineStr">
        <is>
          <t>Tight
+bps</t>
        </is>
      </c>
      <c r="E22" s="3" t="inlineStr">
        <is>
          <t>Stressed
+bps</t>
        </is>
      </c>
      <c r="F22" s="3" t="inlineStr">
        <is>
          <t>Severe
+bps</t>
        </is>
      </c>
      <c r="G22" s="3" t="inlineStr">
        <is>
          <t>Replacement
Baseline</t>
        </is>
      </c>
      <c r="H22" s="3" t="inlineStr">
        <is>
          <t>Replacement
Tight</t>
        </is>
      </c>
      <c r="I22" s="3" t="inlineStr">
        <is>
          <t>Replacement
Stressed</t>
        </is>
      </c>
      <c r="J22" s="3" t="inlineStr">
        <is>
          <t>Ghi chú</t>
        </is>
      </c>
    </row>
    <row r="23" ht="18" customHeight="1">
      <c r="A23" s="37" t="inlineStr">
        <is>
          <t>O/N</t>
        </is>
      </c>
      <c r="B23" s="47" t="n">
        <v>0.042</v>
      </c>
      <c r="C23" s="10" t="n">
        <v>0</v>
      </c>
      <c r="D23" s="10" t="n">
        <v>30</v>
      </c>
      <c r="E23" s="10" t="n">
        <v>100</v>
      </c>
      <c r="F23" s="10" t="n">
        <v>250</v>
      </c>
      <c r="G23" s="293">
        <f>B23+C23/10000</f>
        <v/>
      </c>
      <c r="H23" s="293">
        <f>B23+D23/10000</f>
        <v/>
      </c>
      <c r="I23" s="293">
        <f>B23+E23/10000</f>
        <v/>
      </c>
      <c r="J23" s="223" t="inlineStr"/>
    </row>
    <row r="24" ht="18" customHeight="1">
      <c r="A24" s="41" t="inlineStr">
        <is>
          <t>1W</t>
        </is>
      </c>
      <c r="B24" s="49" t="n">
        <v>0.044</v>
      </c>
      <c r="C24" s="10" t="n">
        <v>5</v>
      </c>
      <c r="D24" s="10" t="n">
        <v>35</v>
      </c>
      <c r="E24" s="10" t="n">
        <v>110</v>
      </c>
      <c r="F24" s="10" t="n">
        <v>260</v>
      </c>
      <c r="G24" s="293">
        <f>B24+C24/10000</f>
        <v/>
      </c>
      <c r="H24" s="293">
        <f>B24+D24/10000</f>
        <v/>
      </c>
      <c r="I24" s="293">
        <f>B24+E24/10000</f>
        <v/>
      </c>
      <c r="J24" s="225" t="inlineStr"/>
    </row>
    <row r="25" ht="18" customHeight="1">
      <c r="A25" s="37" t="inlineStr">
        <is>
          <t>1M</t>
        </is>
      </c>
      <c r="B25" s="47" t="n">
        <v>0.048</v>
      </c>
      <c r="C25" s="10" t="n">
        <v>10</v>
      </c>
      <c r="D25" s="10" t="n">
        <v>40</v>
      </c>
      <c r="E25" s="10" t="n">
        <v>120</v>
      </c>
      <c r="F25" s="50" t="inlineStr">
        <is>
          <t>N/A</t>
        </is>
      </c>
      <c r="G25" s="293">
        <f>B25+C25/10000</f>
        <v/>
      </c>
      <c r="H25" s="293">
        <f>B25+D25/10000</f>
        <v/>
      </c>
      <c r="I25" s="293">
        <f>B25+E25/10000</f>
        <v/>
      </c>
      <c r="J25" s="223" t="inlineStr">
        <is>
          <t>Severe: không vay được tenor này</t>
        </is>
      </c>
    </row>
    <row r="26" ht="18" customHeight="1">
      <c r="A26" s="41" t="inlineStr">
        <is>
          <t>3M</t>
        </is>
      </c>
      <c r="B26" s="49" t="n">
        <v>0.05</v>
      </c>
      <c r="C26" s="10" t="n">
        <v>20</v>
      </c>
      <c r="D26" s="10" t="n">
        <v>50</v>
      </c>
      <c r="E26" s="10" t="n">
        <v>130</v>
      </c>
      <c r="F26" s="50" t="inlineStr">
        <is>
          <t>N/A</t>
        </is>
      </c>
      <c r="G26" s="293">
        <f>B26+C26/10000</f>
        <v/>
      </c>
      <c r="H26" s="293">
        <f>B26+D26/10000</f>
        <v/>
      </c>
      <c r="I26" s="293">
        <f>B26+E26/10000</f>
        <v/>
      </c>
      <c r="J26" s="225" t="inlineStr"/>
    </row>
    <row r="27" ht="18" customHeight="1">
      <c r="A27" s="37" t="inlineStr">
        <is>
          <t>6M</t>
        </is>
      </c>
      <c r="B27" s="47" t="n">
        <v>0.055</v>
      </c>
      <c r="C27" s="10" t="n">
        <v>35</v>
      </c>
      <c r="D27" s="10" t="n">
        <v>60</v>
      </c>
      <c r="E27" s="10" t="n">
        <v>150</v>
      </c>
      <c r="F27" s="50" t="inlineStr">
        <is>
          <t>N/A</t>
        </is>
      </c>
      <c r="G27" s="293">
        <f>B27+C27/10000</f>
        <v/>
      </c>
      <c r="H27" s="293">
        <f>B27+D27/10000</f>
        <v/>
      </c>
      <c r="I27" s="293">
        <f>B27+E27/10000</f>
        <v/>
      </c>
      <c r="J27" s="223" t="inlineStr">
        <is>
          <t>Stressed+: chỉ vay đến 1M</t>
        </is>
      </c>
    </row>
    <row r="28" ht="18" customHeight="1">
      <c r="A28" s="41" t="inlineStr">
        <is>
          <t>1Y</t>
        </is>
      </c>
      <c r="B28" s="49" t="n">
        <v>0.06</v>
      </c>
      <c r="C28" s="10" t="n">
        <v>55</v>
      </c>
      <c r="D28" s="10" t="n">
        <v>80</v>
      </c>
      <c r="E28" s="50" t="inlineStr">
        <is>
          <t>N/A</t>
        </is>
      </c>
      <c r="F28" s="50" t="inlineStr">
        <is>
          <t>N/A</t>
        </is>
      </c>
      <c r="G28" s="293">
        <f>B28+C28/10000</f>
        <v/>
      </c>
      <c r="H28" s="293">
        <f>B28+D28/10000</f>
        <v/>
      </c>
      <c r="I28" s="300" t="inlineStr">
        <is>
          <t>N/A</t>
        </is>
      </c>
      <c r="J28" s="225" t="inlineStr">
        <is>
          <t>Tight+: khó vay tenor này</t>
        </is>
      </c>
    </row>
    <row r="29" ht="18" customHeight="1">
      <c r="A29" s="37" t="inlineStr">
        <is>
          <t>&gt;1Y</t>
        </is>
      </c>
      <c r="B29" s="47" t="n">
        <v>0.065</v>
      </c>
      <c r="C29" s="10" t="n">
        <v>75</v>
      </c>
      <c r="D29" s="50" t="inlineStr">
        <is>
          <t>N/A</t>
        </is>
      </c>
      <c r="E29" s="50" t="inlineStr">
        <is>
          <t>N/A</t>
        </is>
      </c>
      <c r="F29" s="50" t="inlineStr">
        <is>
          <t>N/A</t>
        </is>
      </c>
      <c r="G29" s="293">
        <f>B29+C29/10000</f>
        <v/>
      </c>
      <c r="H29" s="300" t="inlineStr">
        <is>
          <t>N/A</t>
        </is>
      </c>
      <c r="I29" s="300" t="inlineStr">
        <is>
          <t>N/A</t>
        </is>
      </c>
      <c r="J29" s="223" t="inlineStr"/>
    </row>
    <row r="30"/>
    <row r="31" ht="22" customHeight="1">
      <c r="A31" s="233" t="inlineStr">
        <is>
          <t>4. URGENCY PREMIUM — Phụ thuộc số ngày chuẩn bị</t>
        </is>
      </c>
      <c r="B31" s="121" t="n"/>
      <c r="C31" s="121" t="n"/>
      <c r="D31" s="121" t="n"/>
      <c r="E31" s="121" t="n"/>
      <c r="F31" s="121" t="n"/>
      <c r="G31" s="121" t="n"/>
      <c r="H31" s="121" t="n"/>
      <c r="I31" s="121" t="n"/>
      <c r="J31" s="122" t="n"/>
    </row>
    <row r="32" ht="20" customHeight="1">
      <c r="A32" s="3" t="inlineStr">
        <is>
          <t>Thời gian chuẩn bị</t>
        </is>
      </c>
      <c r="B32" s="3" t="inlineStr">
        <is>
          <t>Urgency premium (bps)</t>
        </is>
      </c>
      <c r="C32" s="3" t="inlineStr">
        <is>
          <t>Ghi chú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</row>
    <row r="33" ht="18" customHeight="1">
      <c r="A33" s="219" t="inlineStr">
        <is>
          <t>&gt; 2 tuần</t>
        </is>
      </c>
      <c r="B33" s="51" t="inlineStr">
        <is>
          <t>0–10</t>
        </is>
      </c>
      <c r="C33" s="223" t="inlineStr">
        <is>
          <t>Plan được — chọn kênh tốt nhất</t>
        </is>
      </c>
      <c r="D33" s="121" t="n"/>
      <c r="E33" s="121" t="n"/>
      <c r="F33" s="121" t="n"/>
      <c r="G33" s="121" t="n"/>
      <c r="H33" s="121" t="n"/>
      <c r="I33" s="121" t="n"/>
      <c r="J33" s="122" t="n"/>
    </row>
    <row r="34" ht="18" customHeight="1">
      <c r="A34" s="224" t="inlineStr">
        <is>
          <t>3–14 ngày</t>
        </is>
      </c>
      <c r="B34" s="51" t="inlineStr">
        <is>
          <t>15–30</t>
        </is>
      </c>
      <c r="C34" s="225" t="inlineStr">
        <is>
          <t>Phải nhanh hơn bình thường</t>
        </is>
      </c>
      <c r="D34" s="121" t="n"/>
      <c r="E34" s="121" t="n"/>
      <c r="F34" s="121" t="n"/>
      <c r="G34" s="121" t="n"/>
      <c r="H34" s="121" t="n"/>
      <c r="I34" s="121" t="n"/>
      <c r="J34" s="122" t="n"/>
    </row>
    <row r="35" ht="18" customHeight="1">
      <c r="A35" s="219" t="inlineStr">
        <is>
          <t>1–3 ngày</t>
        </is>
      </c>
      <c r="B35" s="51" t="inlineStr">
        <is>
          <t>50–100</t>
        </is>
      </c>
      <c r="C35" s="223" t="inlineStr">
        <is>
          <t>Phải chấp nhận giá thị trường</t>
        </is>
      </c>
      <c r="D35" s="121" t="n"/>
      <c r="E35" s="121" t="n"/>
      <c r="F35" s="121" t="n"/>
      <c r="G35" s="121" t="n"/>
      <c r="H35" s="121" t="n"/>
      <c r="I35" s="121" t="n"/>
      <c r="J35" s="122" t="n"/>
    </row>
    <row r="36" ht="18" customHeight="1">
      <c r="A36" s="224" t="inlineStr">
        <is>
          <t>Same day / O/N</t>
        </is>
      </c>
      <c r="B36" s="51" t="inlineStr">
        <is>
          <t>100–250</t>
        </is>
      </c>
      <c r="C36" s="225" t="inlineStr">
        <is>
          <t>Không còn lựa chọn — market maker biết</t>
        </is>
      </c>
      <c r="D36" s="121" t="n"/>
      <c r="E36" s="121" t="n"/>
      <c r="F36" s="121" t="n"/>
      <c r="G36" s="121" t="n"/>
      <c r="H36" s="121" t="n"/>
      <c r="I36" s="121" t="n"/>
      <c r="J36" s="122" t="n"/>
    </row>
    <row r="37"/>
    <row r="38"/>
    <row r="39"/>
    <row r="40"/>
    <row r="41"/>
    <row r="42"/>
    <row r="43"/>
    <row r="44"/>
    <row r="45"/>
  </sheetData>
  <mergeCells count="21">
    <mergeCell ref="C34:J34"/>
    <mergeCell ref="A14:J14"/>
    <mergeCell ref="C33:J33"/>
    <mergeCell ref="C6:J6"/>
    <mergeCell ref="A4:J4"/>
    <mergeCell ref="C35:J35"/>
    <mergeCell ref="A31:J31"/>
    <mergeCell ref="C10:J10"/>
    <mergeCell ref="C16:J16"/>
    <mergeCell ref="C9:J9"/>
    <mergeCell ref="A1:J1"/>
    <mergeCell ref="C12:J12"/>
    <mergeCell ref="C11:J11"/>
    <mergeCell ref="C36:J36"/>
    <mergeCell ref="C8:J8"/>
    <mergeCell ref="C17:J17"/>
    <mergeCell ref="C7:J7"/>
    <mergeCell ref="A21:J21"/>
    <mergeCell ref="C19:J19"/>
    <mergeCell ref="A2:J2"/>
    <mergeCell ref="C18:J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62828"/>
    <outlinePr summaryBelow="1" summaryRight="1"/>
    <pageSetUpPr/>
  </sheetPr>
  <dimension ref="A1:M3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</cols>
  <sheetData>
    <row r="1" ht="32" customHeight="1">
      <c r="A1" s="1" t="inlineStr">
        <is>
          <t>LIQUIDITY SENSITIVITY — TÍNH TOÁN ΔNII / ΔNIM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1" t="n"/>
      <c r="M1" s="122" t="n"/>
    </row>
    <row r="2">
      <c r="A2" s="26" t="inlineStr">
        <is>
          <t>ΔNII (tỷ) = Funding Gap × Incremental Spread (%) × (Days / 365)  |  ΔNIM (bps) = ΔNII_annual / Earning Assets × 10,000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2" t="n"/>
    </row>
    <row r="4" ht="22" customHeight="1">
      <c r="A4" s="233" t="inlineStr">
        <is>
          <t>THAM SỐ ĐẦU VÀO</t>
        </is>
      </c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1" t="n"/>
      <c r="M4" s="122" t="n"/>
    </row>
    <row r="5" ht="18" customHeight="1">
      <c r="A5" s="41" t="inlineStr">
        <is>
          <t>Earning Assets (tỷ VND)</t>
        </is>
      </c>
      <c r="B5" s="220" t="n">
        <v>62000</v>
      </c>
    </row>
    <row r="6" ht="18" customHeight="1">
      <c r="A6" s="41" t="inlineStr">
        <is>
          <t>NII Baseline (tỷ/năm)</t>
        </is>
      </c>
      <c r="B6" s="220" t="n">
        <v>3200</v>
      </c>
    </row>
    <row r="7" ht="18" customHeight="1">
      <c r="A7" s="41" t="inlineStr">
        <is>
          <t>NIM Baseline (%)</t>
        </is>
      </c>
      <c r="B7" s="52" t="n">
        <v>0.052</v>
      </c>
    </row>
    <row r="8" ht="18" customHeight="1">
      <c r="A8" s="41" t="inlineStr">
        <is>
          <t>ΔNIM Limit (bps) — internal limit</t>
        </is>
      </c>
      <c r="B8" s="282" t="n">
        <v>-3.5</v>
      </c>
    </row>
    <row r="10" ht="22" customHeight="1">
      <c r="A10" s="233" t="inlineStr">
        <is>
          <t>BẢNG TÍNH ΔNII THEO SCENARIO VÀ TIME BUCKET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2" t="n"/>
    </row>
    <row r="11" ht="20" customHeight="1">
      <c r="A11" s="3" t="inlineStr">
        <is>
          <t>Bucket</t>
        </is>
      </c>
      <c r="B11" s="3" t="inlineStr">
        <is>
          <t>Days</t>
        </is>
      </c>
      <c r="C11" s="3" t="inlineStr">
        <is>
          <t>Funding Gap
(tỷ — âm = cần trám)</t>
        </is>
      </c>
      <c r="D11" s="3" t="inlineStr">
        <is>
          <t>Original
Rate %</t>
        </is>
      </c>
      <c r="E11" s="54" t="inlineStr">
        <is>
          <t>Baseline</t>
        </is>
      </c>
      <c r="F11" s="122" t="n"/>
      <c r="G11" s="55" t="inlineStr">
        <is>
          <t>Tight</t>
        </is>
      </c>
      <c r="H11" s="122" t="n"/>
      <c r="I11" s="56" t="inlineStr">
        <is>
          <t>Stressed</t>
        </is>
      </c>
      <c r="J11" s="122" t="n"/>
      <c r="K11" s="57" t="inlineStr">
        <is>
          <t>Severe</t>
        </is>
      </c>
      <c r="L11" s="122" t="n"/>
      <c r="M11" s="27" t="inlineStr">
        <is>
          <t>Ghi chú</t>
        </is>
      </c>
    </row>
    <row r="12" ht="16" customHeight="1">
      <c r="A12" s="28" t="n"/>
      <c r="B12" s="28" t="n"/>
      <c r="C12" s="28" t="n"/>
      <c r="D12" s="28" t="n"/>
      <c r="E12" s="58" t="inlineStr">
        <is>
          <t>Sp (bps)</t>
        </is>
      </c>
      <c r="F12" s="58" t="inlineStr">
        <is>
          <t>ΔNII (tỷ)</t>
        </is>
      </c>
      <c r="G12" s="59" t="inlineStr">
        <is>
          <t>Sp (bps)</t>
        </is>
      </c>
      <c r="H12" s="59" t="inlineStr">
        <is>
          <t>ΔNII (tỷ)</t>
        </is>
      </c>
      <c r="I12" s="60" t="inlineStr">
        <is>
          <t>Sp (bps)</t>
        </is>
      </c>
      <c r="J12" s="60" t="inlineStr">
        <is>
          <t>ΔNII (tỷ)</t>
        </is>
      </c>
      <c r="K12" s="61" t="inlineStr">
        <is>
          <t>Sp (bps)</t>
        </is>
      </c>
      <c r="L12" s="61" t="inlineStr">
        <is>
          <t>ΔNII (tỷ)</t>
        </is>
      </c>
      <c r="M12" s="28" t="n"/>
    </row>
    <row r="13" ht="18" customHeight="1">
      <c r="A13" s="62" t="inlineStr">
        <is>
          <t>O/N</t>
        </is>
      </c>
      <c r="B13" s="9" t="n">
        <v>1</v>
      </c>
      <c r="C13" s="36" t="n">
        <v>-2105</v>
      </c>
      <c r="D13" s="47" t="n">
        <v>0.043</v>
      </c>
      <c r="E13" s="10" t="n">
        <v>0</v>
      </c>
      <c r="F13" s="301">
        <f>C13*(E13/10000)*(B13/365)</f>
        <v/>
      </c>
      <c r="G13" s="10" t="n">
        <v>30</v>
      </c>
      <c r="H13" s="301">
        <f>C13*(G13/10000)*(B13/365)</f>
        <v/>
      </c>
      <c r="I13" s="10" t="n">
        <v>100</v>
      </c>
      <c r="J13" s="301">
        <f>C13*(I13/10000)*(B13/365)</f>
        <v/>
      </c>
      <c r="K13" s="10" t="n">
        <v>250</v>
      </c>
      <c r="L13" s="301">
        <f>C13*(K13/10000)*(B13/365)</f>
        <v/>
      </c>
      <c r="M13" s="223" t="inlineStr"/>
    </row>
    <row r="14" ht="18" customHeight="1">
      <c r="A14" s="64" t="inlineStr">
        <is>
          <t>1W</t>
        </is>
      </c>
      <c r="B14" s="15" t="n">
        <v>7</v>
      </c>
      <c r="C14" s="36" t="n">
        <v>-1420</v>
      </c>
      <c r="D14" s="49" t="n">
        <v>0.045</v>
      </c>
      <c r="E14" s="10" t="n">
        <v>5</v>
      </c>
      <c r="F14" s="301">
        <f>C14*(E14/10000)*(B14/365)</f>
        <v/>
      </c>
      <c r="G14" s="10" t="n">
        <v>35</v>
      </c>
      <c r="H14" s="301">
        <f>C14*(G14/10000)*(B14/365)</f>
        <v/>
      </c>
      <c r="I14" s="10" t="n">
        <v>110</v>
      </c>
      <c r="J14" s="301">
        <f>C14*(I14/10000)*(B14/365)</f>
        <v/>
      </c>
      <c r="K14" s="10" t="n">
        <v>260</v>
      </c>
      <c r="L14" s="301">
        <f>C14*(K14/10000)*(B14/365)</f>
        <v/>
      </c>
      <c r="M14" s="225" t="inlineStr"/>
    </row>
    <row r="15" ht="18" customHeight="1">
      <c r="A15" s="62" t="inlineStr">
        <is>
          <t>1M</t>
        </is>
      </c>
      <c r="B15" s="9" t="n">
        <v>30</v>
      </c>
      <c r="C15" s="36" t="n">
        <v>-2800</v>
      </c>
      <c r="D15" s="47" t="n">
        <v>0.049</v>
      </c>
      <c r="E15" s="10" t="n">
        <v>10</v>
      </c>
      <c r="F15" s="301">
        <f>C15*(E15/10000)*(B15/365)</f>
        <v/>
      </c>
      <c r="G15" s="10" t="n">
        <v>40</v>
      </c>
      <c r="H15" s="301">
        <f>C15*(G15/10000)*(B15/365)</f>
        <v/>
      </c>
      <c r="I15" s="10" t="n">
        <v>120</v>
      </c>
      <c r="J15" s="301">
        <f>C15*(I15/10000)*(B15/365)</f>
        <v/>
      </c>
      <c r="K15" s="50" t="inlineStr">
        <is>
          <t>N/A</t>
        </is>
      </c>
      <c r="L15" s="50" t="inlineStr">
        <is>
          <t>N/A</t>
        </is>
      </c>
      <c r="M15" s="223" t="inlineStr">
        <is>
          <t>Severe: không huy động được</t>
        </is>
      </c>
    </row>
    <row r="16" ht="18" customHeight="1">
      <c r="A16" s="64" t="inlineStr">
        <is>
          <t>3M</t>
        </is>
      </c>
      <c r="B16" s="15" t="n">
        <v>90</v>
      </c>
      <c r="C16" s="65" t="n">
        <v>0</v>
      </c>
      <c r="D16" s="49" t="n">
        <v>0.05</v>
      </c>
      <c r="E16" s="10" t="n">
        <v>20</v>
      </c>
      <c r="F16" s="301">
        <f>C16*(E16/10000)*(B16/365)</f>
        <v/>
      </c>
      <c r="G16" s="10" t="n">
        <v>50</v>
      </c>
      <c r="H16" s="301">
        <f>C16*(G16/10000)*(B16/365)</f>
        <v/>
      </c>
      <c r="I16" s="10" t="n">
        <v>130</v>
      </c>
      <c r="J16" s="301">
        <f>C16*(I16/10000)*(B16/365)</f>
        <v/>
      </c>
      <c r="K16" s="50" t="inlineStr">
        <is>
          <t>N/A</t>
        </is>
      </c>
      <c r="L16" s="50" t="inlineStr">
        <is>
          <t>N/A</t>
        </is>
      </c>
      <c r="M16" s="225" t="inlineStr">
        <is>
          <t>Gap dương → không phát sinh chi phí trám</t>
        </is>
      </c>
    </row>
    <row r="17" ht="18" customHeight="1">
      <c r="A17" s="62" t="inlineStr">
        <is>
          <t>6M</t>
        </is>
      </c>
      <c r="B17" s="9" t="n">
        <v>180</v>
      </c>
      <c r="C17" s="65" t="n">
        <v>0</v>
      </c>
      <c r="D17" s="47" t="n">
        <v>0.055</v>
      </c>
      <c r="E17" s="10" t="n">
        <v>35</v>
      </c>
      <c r="F17" s="301">
        <f>C17*(E17/10000)*(B17/365)</f>
        <v/>
      </c>
      <c r="G17" s="10" t="n">
        <v>60</v>
      </c>
      <c r="H17" s="301">
        <f>C17*(G17/10000)*(B17/365)</f>
        <v/>
      </c>
      <c r="I17" s="10" t="n">
        <v>150</v>
      </c>
      <c r="J17" s="301">
        <f>C17*(I17/10000)*(B17/365)</f>
        <v/>
      </c>
      <c r="K17" s="50" t="inlineStr">
        <is>
          <t>N/A</t>
        </is>
      </c>
      <c r="L17" s="50" t="inlineStr">
        <is>
          <t>N/A</t>
        </is>
      </c>
      <c r="M17" s="223" t="inlineStr"/>
    </row>
    <row r="18" ht="18" customHeight="1">
      <c r="A18" s="64" t="inlineStr">
        <is>
          <t>1Y</t>
        </is>
      </c>
      <c r="B18" s="15" t="n">
        <v>365</v>
      </c>
      <c r="C18" s="65" t="n">
        <v>0</v>
      </c>
      <c r="D18" s="49" t="n">
        <v>0.06</v>
      </c>
      <c r="E18" s="10" t="n">
        <v>55</v>
      </c>
      <c r="F18" s="301">
        <f>C18*(E18/10000)*(B18/365)</f>
        <v/>
      </c>
      <c r="G18" s="10" t="n">
        <v>80</v>
      </c>
      <c r="H18" s="301">
        <f>C18*(G18/10000)*(B18/365)</f>
        <v/>
      </c>
      <c r="I18" s="50" t="inlineStr">
        <is>
          <t>N/A</t>
        </is>
      </c>
      <c r="J18" s="50" t="inlineStr">
        <is>
          <t>N/A</t>
        </is>
      </c>
      <c r="K18" s="50" t="inlineStr">
        <is>
          <t>N/A</t>
        </is>
      </c>
      <c r="L18" s="50" t="inlineStr">
        <is>
          <t>N/A</t>
        </is>
      </c>
      <c r="M18" s="225" t="inlineStr">
        <is>
          <t>Stressed+: chỉ vay đến 3M</t>
        </is>
      </c>
    </row>
    <row r="19" ht="18" customHeight="1">
      <c r="A19" s="62" t="inlineStr">
        <is>
          <t>&gt;1Y</t>
        </is>
      </c>
      <c r="B19" s="9" t="n">
        <v>730</v>
      </c>
      <c r="C19" s="65" t="n">
        <v>0</v>
      </c>
      <c r="D19" s="47" t="n">
        <v>0.065</v>
      </c>
      <c r="E19" s="10" t="n">
        <v>75</v>
      </c>
      <c r="F19" s="301">
        <f>C19*(E19/10000)*(B19/365)</f>
        <v/>
      </c>
      <c r="G19" s="50" t="inlineStr">
        <is>
          <t>N/A</t>
        </is>
      </c>
      <c r="H19" s="50" t="inlineStr">
        <is>
          <t>N/A</t>
        </is>
      </c>
      <c r="I19" s="50" t="inlineStr">
        <is>
          <t>N/A</t>
        </is>
      </c>
      <c r="J19" s="50" t="inlineStr">
        <is>
          <t>N/A</t>
        </is>
      </c>
      <c r="K19" s="50" t="inlineStr">
        <is>
          <t>N/A</t>
        </is>
      </c>
      <c r="L19" s="50" t="inlineStr">
        <is>
          <t>N/A</t>
        </is>
      </c>
      <c r="M19" s="223" t="inlineStr">
        <is>
          <t>Tight+: không vay được tenor dài</t>
        </is>
      </c>
    </row>
    <row r="20" ht="22" customHeight="1">
      <c r="A20" s="68" t="inlineStr">
        <is>
          <t>TỔNG ΔNII — point-in-time (tỷ VND)</t>
        </is>
      </c>
      <c r="B20" s="121" t="n"/>
      <c r="C20" s="121" t="n"/>
      <c r="D20" s="122" t="n"/>
      <c r="E20" s="69" t="n"/>
      <c r="F20" s="302">
        <f>SUMPRODUCT(IFERROR(F13:F19,0))</f>
        <v/>
      </c>
      <c r="G20" s="71" t="n"/>
      <c r="H20" s="303">
        <f>SUMPRODUCT(IFERROR(H13:H19,0))</f>
        <v/>
      </c>
      <c r="I20" s="73" t="n"/>
      <c r="J20" s="304">
        <f>SUMPRODUCT(IFERROR(J13:J19,0))</f>
        <v/>
      </c>
      <c r="K20" s="75" t="n"/>
      <c r="L20" s="305">
        <f>SUMPRODUCT(IFERROR(L13:L19,0))</f>
        <v/>
      </c>
      <c r="M20" s="275" t="inlineStr"/>
    </row>
    <row r="21" ht="22" customHeight="1">
      <c r="A21" s="68" t="inlineStr">
        <is>
          <t>ΔNII Annualized ≈ ×12 (tỷ VND/năm) — nếu gap tồn tại cả năm</t>
        </is>
      </c>
      <c r="B21" s="121" t="n"/>
      <c r="C21" s="121" t="n"/>
      <c r="D21" s="122" t="n"/>
      <c r="E21" s="69" t="n"/>
      <c r="F21" s="302">
        <f>F20*12</f>
        <v/>
      </c>
      <c r="G21" s="71" t="n"/>
      <c r="H21" s="303">
        <f>H20*12</f>
        <v/>
      </c>
      <c r="I21" s="73" t="n"/>
      <c r="J21" s="304">
        <f>J20*12</f>
        <v/>
      </c>
      <c r="K21" s="75" t="n"/>
      <c r="L21" s="305">
        <f>L20*12</f>
        <v/>
      </c>
      <c r="M21" s="275" t="inlineStr"/>
    </row>
    <row r="22" ht="22" customHeight="1">
      <c r="A22" s="68" t="inlineStr">
        <is>
          <t>ΔNIM (bps) = ΔNII_annual / Earning Assets × 10,000</t>
        </is>
      </c>
      <c r="B22" s="121" t="n"/>
      <c r="C22" s="121" t="n"/>
      <c r="D22" s="122" t="n"/>
      <c r="E22" s="69" t="n"/>
      <c r="F22" s="306">
        <f>IFERROR(F21/B5*10000,0)</f>
        <v/>
      </c>
      <c r="G22" s="71" t="n"/>
      <c r="H22" s="307">
        <f>IFERROR(H21/B5*10000,0)</f>
        <v/>
      </c>
      <c r="I22" s="73" t="n"/>
      <c r="J22" s="308">
        <f>IFERROR(J21/B5*10000,0)</f>
        <v/>
      </c>
      <c r="K22" s="75" t="n"/>
      <c r="L22" s="309">
        <f>IFERROR(L21/B5*10000,0)</f>
        <v/>
      </c>
      <c r="M22" s="275" t="inlineStr"/>
    </row>
    <row r="23" ht="22" customHeight="1">
      <c r="A23" s="68" t="inlineStr">
        <is>
          <t>NIM sau shock (%)</t>
        </is>
      </c>
      <c r="B23" s="121" t="n"/>
      <c r="C23" s="121" t="n"/>
      <c r="D23" s="122" t="n"/>
      <c r="E23" s="69" t="n"/>
      <c r="F23" s="310">
        <f>B7+F22/10000</f>
        <v/>
      </c>
      <c r="G23" s="71" t="n"/>
      <c r="H23" s="311">
        <f>B7+H22/10000</f>
        <v/>
      </c>
      <c r="I23" s="73" t="n"/>
      <c r="J23" s="312">
        <f>B7+J22/10000</f>
        <v/>
      </c>
      <c r="K23" s="75" t="n"/>
      <c r="L23" s="313">
        <f>B7+L22/10000</f>
        <v/>
      </c>
      <c r="M23" s="275" t="inlineStr"/>
    </row>
    <row r="25" ht="22" customHeight="1">
      <c r="A25" s="233" t="inlineStr">
        <is>
          <t>LIMIT CHECK — so sánh với internal limit</t>
        </is>
      </c>
      <c r="B25" s="121" t="n"/>
      <c r="C25" s="121" t="n"/>
      <c r="D25" s="121" t="n"/>
      <c r="E25" s="121" t="n"/>
      <c r="F25" s="121" t="n"/>
      <c r="G25" s="121" t="n"/>
      <c r="H25" s="121" t="n"/>
      <c r="I25" s="121" t="n"/>
      <c r="J25" s="121" t="n"/>
      <c r="K25" s="121" t="n"/>
      <c r="L25" s="121" t="n"/>
      <c r="M25" s="122" t="n"/>
    </row>
    <row r="26" ht="18" customHeight="1">
      <c r="A26" s="3" t="inlineStr">
        <is>
          <t>Scenario</t>
        </is>
      </c>
      <c r="B26" s="3" t="inlineStr"/>
      <c r="C26" s="3" t="inlineStr">
        <is>
          <t>ΔNIM (bps)</t>
        </is>
      </c>
      <c r="D26" s="3" t="inlineStr"/>
      <c r="E26" s="3" t="inlineStr">
        <is>
          <t>Limit (bps)</t>
        </is>
      </c>
      <c r="F26" s="3" t="inlineStr"/>
      <c r="G26" s="3" t="inlineStr">
        <is>
          <t>Status</t>
        </is>
      </c>
      <c r="H26" s="3" t="inlineStr"/>
      <c r="I26" s="3" t="inlineStr"/>
      <c r="J26" s="3" t="inlineStr"/>
      <c r="K26" s="3" t="inlineStr"/>
      <c r="L26" s="3" t="inlineStr"/>
      <c r="M26" s="3" t="inlineStr"/>
    </row>
    <row r="27" ht="20" customHeight="1">
      <c r="A27" s="281" t="inlineStr">
        <is>
          <t>Baseline</t>
        </is>
      </c>
      <c r="C27" s="86" t="n">
        <v>-0.47</v>
      </c>
      <c r="E27" s="87" t="n">
        <v>-3.5</v>
      </c>
      <c r="G27" s="88" t="inlineStr">
        <is>
          <t>OK</t>
        </is>
      </c>
    </row>
    <row r="28" ht="20" customHeight="1">
      <c r="A28" s="285" t="inlineStr">
        <is>
          <t>Tight</t>
        </is>
      </c>
      <c r="C28" s="86" t="n">
        <v>-2</v>
      </c>
      <c r="E28" s="87" t="n">
        <v>-3.5</v>
      </c>
      <c r="G28" s="89" t="inlineStr">
        <is>
          <t>WATCH</t>
        </is>
      </c>
    </row>
    <row r="29" ht="20" customHeight="1">
      <c r="A29" s="288" t="inlineStr">
        <is>
          <t>Stressed</t>
        </is>
      </c>
      <c r="C29" s="86" t="n">
        <v>-6.04</v>
      </c>
      <c r="E29" s="87" t="n">
        <v>-3.5</v>
      </c>
      <c r="G29" s="90" t="inlineStr">
        <is>
          <t>BREACH</t>
        </is>
      </c>
    </row>
    <row r="30" ht="20" customHeight="1">
      <c r="A30" s="290" t="inlineStr">
        <is>
          <t>Severe</t>
        </is>
      </c>
      <c r="C30" s="86" t="n">
        <v>-1.65</v>
      </c>
      <c r="E30" s="87" t="n">
        <v>-3.5</v>
      </c>
      <c r="G30" s="89" t="inlineStr">
        <is>
          <t>WATCH</t>
        </is>
      </c>
    </row>
  </sheetData>
  <mergeCells count="38">
    <mergeCell ref="F27"/>
    <mergeCell ref="A23:D23"/>
    <mergeCell ref="A22:D22"/>
    <mergeCell ref="B30"/>
    <mergeCell ref="G11:H11"/>
    <mergeCell ref="A20:D20"/>
    <mergeCell ref="D30"/>
    <mergeCell ref="A4:M4"/>
    <mergeCell ref="I11:J11"/>
    <mergeCell ref="B11:B12"/>
    <mergeCell ref="M11:M12"/>
    <mergeCell ref="D11:D12"/>
    <mergeCell ref="M23"/>
    <mergeCell ref="D29"/>
    <mergeCell ref="A10:M10"/>
    <mergeCell ref="K11:L11"/>
    <mergeCell ref="H28:M28"/>
    <mergeCell ref="F29"/>
    <mergeCell ref="H27:M27"/>
    <mergeCell ref="C11:C12"/>
    <mergeCell ref="B27"/>
    <mergeCell ref="A1:M1"/>
    <mergeCell ref="F30"/>
    <mergeCell ref="E11:F11"/>
    <mergeCell ref="M20"/>
    <mergeCell ref="H30:M30"/>
    <mergeCell ref="F28"/>
    <mergeCell ref="A25:M25"/>
    <mergeCell ref="D27"/>
    <mergeCell ref="H29:M29"/>
    <mergeCell ref="M22"/>
    <mergeCell ref="B29"/>
    <mergeCell ref="A21:D21"/>
    <mergeCell ref="M21"/>
    <mergeCell ref="B28"/>
    <mergeCell ref="D28"/>
    <mergeCell ref="A2:M2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148C"/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2" customHeight="1">
      <c r="A1" s="91" t="inlineStr">
        <is>
          <t>LIQUIDITY SENSITIVITY DASHBOARD — BÁO CÁO ALCO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2" t="n"/>
    </row>
    <row r="2" ht="22" customHeight="1">
      <c r="A2" s="92" t="inlineStr">
        <is>
          <t>Ngân hàng XYZ  |  Tháng 05/2026  |  Tài liệu nội bộ ALCO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2" t="n"/>
    </row>
    <row r="4" ht="20" customHeight="1">
      <c r="A4" s="27" t="inlineStr">
        <is>
          <t>Earning Assets</t>
        </is>
      </c>
      <c r="B4" s="121" t="n"/>
      <c r="C4" s="122" t="n"/>
      <c r="D4" s="93" t="inlineStr">
        <is>
          <t>NII Baseline</t>
        </is>
      </c>
      <c r="E4" s="121" t="n"/>
      <c r="F4" s="122" t="n"/>
      <c r="G4" s="93" t="inlineStr">
        <is>
          <t>NIM Baseline</t>
        </is>
      </c>
      <c r="H4" s="121" t="n"/>
      <c r="I4" s="122" t="n"/>
      <c r="J4" s="94" t="inlineStr">
        <is>
          <t>HQLA Buffer</t>
        </is>
      </c>
      <c r="K4" s="121" t="n"/>
      <c r="L4" s="122" t="n"/>
    </row>
    <row r="5" ht="38" customHeight="1">
      <c r="A5" s="91" t="inlineStr">
        <is>
          <t>62,000 tỷ</t>
        </is>
      </c>
      <c r="B5" s="121" t="n"/>
      <c r="C5" s="122" t="n"/>
      <c r="D5" s="95" t="inlineStr">
        <is>
          <t>3,200 tỷ/năm</t>
        </is>
      </c>
      <c r="E5" s="121" t="n"/>
      <c r="F5" s="122" t="n"/>
      <c r="G5" s="95" t="inlineStr">
        <is>
          <t>5.20%</t>
        </is>
      </c>
      <c r="H5" s="121" t="n"/>
      <c r="I5" s="122" t="n"/>
      <c r="J5" s="96" t="inlineStr">
        <is>
          <t>9,000 tỷ</t>
        </is>
      </c>
      <c r="K5" s="121" t="n"/>
      <c r="L5" s="122" t="n"/>
    </row>
    <row r="7" ht="22" customHeight="1">
      <c r="A7" s="233" t="inlineStr">
        <is>
          <t>FUNDING GAP — BEHAVIORAL ADJUSTED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2" t="n"/>
    </row>
    <row r="8" ht="20" customHeight="1">
      <c r="A8" s="3" t="inlineStr">
        <is>
          <t>Bucket</t>
        </is>
      </c>
      <c r="B8" s="3" t="inlineStr">
        <is>
          <t>Gap (tỷ)</t>
        </is>
      </c>
      <c r="C8" s="3" t="inlineStr"/>
      <c r="D8" s="3" t="inlineStr">
        <is>
          <t>Cumulative</t>
        </is>
      </c>
      <c r="E8" s="3" t="inlineStr"/>
      <c r="F8" s="3" t="inlineStr">
        <is>
          <t>Status</t>
        </is>
      </c>
      <c r="G8" s="3" t="inlineStr">
        <is>
          <t>Hành động khuyến nghị</t>
        </is>
      </c>
      <c r="H8" s="3" t="inlineStr"/>
      <c r="I8" s="3" t="inlineStr"/>
      <c r="J8" s="3" t="inlineStr"/>
      <c r="K8" s="3" t="inlineStr"/>
      <c r="L8" s="3" t="inlineStr"/>
    </row>
    <row r="9" ht="18" customHeight="1">
      <c r="A9" s="62" t="inlineStr">
        <is>
          <t>O/N</t>
        </is>
      </c>
      <c r="B9" s="36" t="n">
        <v>-2105</v>
      </c>
      <c r="C9" s="122" t="n"/>
      <c r="D9" s="36" t="n">
        <v>-2105</v>
      </c>
      <c r="E9" s="122" t="n"/>
      <c r="F9" s="213" t="inlineStr">
        <is>
          <t>BREACH</t>
        </is>
      </c>
      <c r="G9" s="98" t="inlineStr">
        <is>
          <t>Trám bằng SBV OMO (cần đủ TPCP collateral)</t>
        </is>
      </c>
      <c r="H9" s="121" t="n"/>
      <c r="I9" s="121" t="n"/>
      <c r="J9" s="121" t="n"/>
      <c r="K9" s="121" t="n"/>
      <c r="L9" s="122" t="n"/>
    </row>
    <row r="10" ht="18" customHeight="1">
      <c r="A10" s="62" t="inlineStr">
        <is>
          <t>1W</t>
        </is>
      </c>
      <c r="B10" s="36" t="n">
        <v>-1420</v>
      </c>
      <c r="C10" s="122" t="n"/>
      <c r="D10" s="36" t="n">
        <v>-3525</v>
      </c>
      <c r="E10" s="122" t="n"/>
      <c r="F10" s="213" t="inlineStr">
        <is>
          <t>BREACH</t>
        </is>
      </c>
      <c r="G10" s="98" t="inlineStr">
        <is>
          <t>Rollover LNH 1W — monitor daily</t>
        </is>
      </c>
      <c r="H10" s="121" t="n"/>
      <c r="I10" s="121" t="n"/>
      <c r="J10" s="121" t="n"/>
      <c r="K10" s="121" t="n"/>
      <c r="L10" s="122" t="n"/>
    </row>
    <row r="11" ht="18" customHeight="1">
      <c r="A11" s="62" t="inlineStr">
        <is>
          <t>1M</t>
        </is>
      </c>
      <c r="B11" s="36" t="n">
        <v>-2800</v>
      </c>
      <c r="C11" s="122" t="n"/>
      <c r="D11" s="36" t="n">
        <v>-6325</v>
      </c>
      <c r="E11" s="122" t="n"/>
      <c r="F11" s="213" t="inlineStr">
        <is>
          <t>BREACH</t>
        </is>
      </c>
      <c r="G11" s="98" t="inlineStr">
        <is>
          <t>Phát hành CD / tăng lãi huy động TT1</t>
        </is>
      </c>
      <c r="H11" s="121" t="n"/>
      <c r="I11" s="121" t="n"/>
      <c r="J11" s="121" t="n"/>
      <c r="K11" s="121" t="n"/>
      <c r="L11" s="122" t="n"/>
    </row>
    <row r="12" ht="18" customHeight="1">
      <c r="A12" s="62" t="inlineStr">
        <is>
          <t>3M</t>
        </is>
      </c>
      <c r="B12" s="38" t="n">
        <v>13000</v>
      </c>
      <c r="C12" s="122" t="n"/>
      <c r="D12" s="38" t="n">
        <v>6675</v>
      </c>
      <c r="E12" s="122" t="n"/>
      <c r="F12" s="99" t="inlineStr">
        <is>
          <t>OK</t>
        </is>
      </c>
      <c r="G12" s="98" t="inlineStr">
        <is>
          <t>Thặng dư — có thể deploy vào TPCP ngắn hạn</t>
        </is>
      </c>
      <c r="H12" s="121" t="n"/>
      <c r="I12" s="121" t="n"/>
      <c r="J12" s="121" t="n"/>
      <c r="K12" s="121" t="n"/>
      <c r="L12" s="122" t="n"/>
    </row>
    <row r="13" ht="18" customHeight="1">
      <c r="A13" s="62" t="inlineStr">
        <is>
          <t>6M</t>
        </is>
      </c>
      <c r="B13" s="38" t="n">
        <v>6480</v>
      </c>
      <c r="C13" s="122" t="n"/>
      <c r="D13" s="38" t="n">
        <v>13155</v>
      </c>
      <c r="E13" s="122" t="n"/>
      <c r="F13" s="99" t="inlineStr">
        <is>
          <t>OK</t>
        </is>
      </c>
      <c r="G13" s="98" t="inlineStr"/>
      <c r="H13" s="121" t="n"/>
      <c r="I13" s="121" t="n"/>
      <c r="J13" s="121" t="n"/>
      <c r="K13" s="121" t="n"/>
      <c r="L13" s="122" t="n"/>
    </row>
    <row r="14" ht="18" customHeight="1">
      <c r="A14" s="62" t="inlineStr">
        <is>
          <t>1Y</t>
        </is>
      </c>
      <c r="B14" s="38" t="n">
        <v>10700</v>
      </c>
      <c r="C14" s="122" t="n"/>
      <c r="D14" s="38" t="n">
        <v>23855</v>
      </c>
      <c r="E14" s="122" t="n"/>
      <c r="F14" s="99" t="inlineStr">
        <is>
          <t>OK</t>
        </is>
      </c>
      <c r="G14" s="98" t="inlineStr"/>
      <c r="H14" s="121" t="n"/>
      <c r="I14" s="121" t="n"/>
      <c r="J14" s="121" t="n"/>
      <c r="K14" s="121" t="n"/>
      <c r="L14" s="122" t="n"/>
    </row>
    <row r="15" ht="18" customHeight="1">
      <c r="A15" s="62" t="inlineStr">
        <is>
          <t>&gt;1Y</t>
        </is>
      </c>
      <c r="B15" s="38" t="n">
        <v>36300</v>
      </c>
      <c r="C15" s="122" t="n"/>
      <c r="D15" s="38" t="n">
        <v>60155</v>
      </c>
      <c r="E15" s="122" t="n"/>
      <c r="F15" s="99" t="inlineStr">
        <is>
          <t>OK</t>
        </is>
      </c>
      <c r="G15" s="98" t="inlineStr"/>
      <c r="H15" s="121" t="n"/>
      <c r="I15" s="121" t="n"/>
      <c r="J15" s="121" t="n"/>
      <c r="K15" s="121" t="n"/>
      <c r="L15" s="122" t="n"/>
    </row>
    <row r="17" ht="22" customHeight="1">
      <c r="A17" s="233" t="inlineStr">
        <is>
          <t>NII / NIM SENSITIVITY — TÓM TẮT 4 SCENARIOS</t>
        </is>
      </c>
      <c r="B17" s="121" t="n"/>
      <c r="C17" s="121" t="n"/>
      <c r="D17" s="121" t="n"/>
      <c r="E17" s="121" t="n"/>
      <c r="F17" s="121" t="n"/>
      <c r="G17" s="121" t="n"/>
      <c r="H17" s="121" t="n"/>
      <c r="I17" s="121" t="n"/>
      <c r="J17" s="121" t="n"/>
      <c r="K17" s="121" t="n"/>
      <c r="L17" s="122" t="n"/>
    </row>
    <row r="18" ht="20" customHeight="1">
      <c r="A18" s="68" t="inlineStr">
        <is>
          <t>Chỉ tiêu</t>
        </is>
      </c>
      <c r="B18" s="281" t="inlineStr">
        <is>
          <t>Baseline</t>
        </is>
      </c>
      <c r="C18" s="122" t="n"/>
      <c r="D18" s="285" t="inlineStr">
        <is>
          <t>Tight</t>
        </is>
      </c>
      <c r="E18" s="122" t="n"/>
      <c r="F18" s="288" t="inlineStr">
        <is>
          <t>Stressed</t>
        </is>
      </c>
      <c r="G18" s="122" t="n"/>
      <c r="H18" s="290" t="inlineStr">
        <is>
          <t>Severe</t>
        </is>
      </c>
      <c r="I18" s="122" t="n"/>
      <c r="J18" s="100" t="inlineStr">
        <is>
          <t>Limit (internal)</t>
        </is>
      </c>
      <c r="K18" s="122" t="n"/>
      <c r="L18" s="27" t="inlineStr">
        <is>
          <t>Status max</t>
        </is>
      </c>
    </row>
    <row r="19" ht="22" customHeight="1">
      <c r="A19" s="37" t="inlineStr">
        <is>
          <t>ΔNII — point-in-time (tỷ)</t>
        </is>
      </c>
      <c r="B19" s="101" t="n">
        <v>-0.2</v>
      </c>
      <c r="C19" s="122" t="n"/>
      <c r="D19" s="102" t="n">
        <v>-1</v>
      </c>
      <c r="E19" s="122" t="n"/>
      <c r="F19" s="103" t="n">
        <v>-3.1</v>
      </c>
      <c r="G19" s="122" t="n"/>
      <c r="H19" s="104" t="n">
        <v>-0.9</v>
      </c>
      <c r="I19" s="122" t="n"/>
      <c r="J19" s="105" t="inlineStr">
        <is>
          <t>—</t>
        </is>
      </c>
      <c r="K19" s="122" t="n"/>
      <c r="L19" s="219" t="inlineStr"/>
    </row>
    <row r="20" ht="22" customHeight="1">
      <c r="A20" s="41" t="inlineStr">
        <is>
          <t>ΔNII — annualized (tỷ/năm)</t>
        </is>
      </c>
      <c r="B20" s="101" t="n">
        <v>-2.9</v>
      </c>
      <c r="C20" s="122" t="n"/>
      <c r="D20" s="102" t="n">
        <v>-12.4</v>
      </c>
      <c r="E20" s="122" t="n"/>
      <c r="F20" s="103" t="n">
        <v>-37.4</v>
      </c>
      <c r="G20" s="122" t="n"/>
      <c r="H20" s="104" t="n">
        <v>-10.2</v>
      </c>
      <c r="I20" s="122" t="n"/>
      <c r="J20" s="105" t="inlineStr">
        <is>
          <t>—</t>
        </is>
      </c>
      <c r="K20" s="122" t="n"/>
      <c r="L20" s="224" t="inlineStr"/>
    </row>
    <row r="21" ht="22" customHeight="1">
      <c r="A21" s="37" t="inlineStr">
        <is>
          <t>ΔNIM — annualized (bps)</t>
        </is>
      </c>
      <c r="B21" s="106" t="n">
        <v>-0.47</v>
      </c>
      <c r="C21" s="122" t="n"/>
      <c r="D21" s="107" t="n">
        <v>-2</v>
      </c>
      <c r="E21" s="122" t="n"/>
      <c r="F21" s="108" t="n">
        <v>-6.04</v>
      </c>
      <c r="G21" s="122" t="n"/>
      <c r="H21" s="109" t="n">
        <v>-1.65</v>
      </c>
      <c r="I21" s="122" t="n"/>
      <c r="J21" s="105" t="inlineStr">
        <is>
          <t>-3.5 bps</t>
        </is>
      </c>
      <c r="K21" s="122" t="n"/>
      <c r="L21" s="213" t="inlineStr">
        <is>
          <t>BREACH</t>
        </is>
      </c>
    </row>
    <row r="22" ht="22" customHeight="1">
      <c r="A22" s="41" t="inlineStr">
        <is>
          <t>NIM sau shock (%)</t>
        </is>
      </c>
      <c r="B22" s="110" t="n">
        <v>0.052</v>
      </c>
      <c r="C22" s="122" t="n"/>
      <c r="D22" s="111" t="n">
        <v>0.0518</v>
      </c>
      <c r="E22" s="122" t="n"/>
      <c r="F22" s="112" t="n">
        <v>0.0514</v>
      </c>
      <c r="G22" s="122" t="n"/>
      <c r="H22" s="113" t="n">
        <v>0.0518</v>
      </c>
      <c r="I22" s="122" t="n"/>
      <c r="J22" s="105" t="inlineStr">
        <is>
          <t>—</t>
        </is>
      </c>
      <c r="K22" s="122" t="n"/>
      <c r="L22" s="224" t="inlineStr"/>
    </row>
    <row r="24" ht="22" customHeight="1">
      <c r="A24" s="233" t="inlineStr">
        <is>
          <t>TRAFFIC LIGHT — ĐÁNH GIÁ TỔNG THỂ</t>
        </is>
      </c>
      <c r="B24" s="121" t="n"/>
      <c r="C24" s="121" t="n"/>
      <c r="D24" s="121" t="n"/>
      <c r="E24" s="121" t="n"/>
      <c r="F24" s="121" t="n"/>
      <c r="G24" s="121" t="n"/>
      <c r="H24" s="121" t="n"/>
      <c r="I24" s="121" t="n"/>
      <c r="J24" s="121" t="n"/>
      <c r="K24" s="121" t="n"/>
      <c r="L24" s="122" t="n"/>
    </row>
    <row r="25" ht="22" customHeight="1">
      <c r="A25" s="281" t="inlineStr">
        <is>
          <t>Baseline</t>
        </is>
      </c>
      <c r="B25" s="122" t="n"/>
      <c r="C25" s="114" t="inlineStr">
        <is>
          <t>OK</t>
        </is>
      </c>
      <c r="D25" s="122" t="n"/>
      <c r="E25" s="219" t="inlineStr">
        <is>
          <t>Trong giới hạn — không cần hành động ngay</t>
        </is>
      </c>
      <c r="F25" s="121" t="n"/>
      <c r="G25" s="121" t="n"/>
      <c r="H25" s="121" t="n"/>
      <c r="I25" s="121" t="n"/>
      <c r="J25" s="121" t="n"/>
      <c r="K25" s="121" t="n"/>
      <c r="L25" s="122" t="n"/>
    </row>
    <row r="26" ht="22" customHeight="1">
      <c r="A26" s="281" t="inlineStr">
        <is>
          <t>Tight</t>
        </is>
      </c>
      <c r="B26" s="122" t="n"/>
      <c r="C26" s="114" t="inlineStr">
        <is>
          <t>OK</t>
        </is>
      </c>
      <c r="D26" s="122" t="n"/>
      <c r="E26" s="219" t="inlineStr">
        <is>
          <t>Trong giới hạn — theo dõi hàng tuần</t>
        </is>
      </c>
      <c r="F26" s="121" t="n"/>
      <c r="G26" s="121" t="n"/>
      <c r="H26" s="121" t="n"/>
      <c r="I26" s="121" t="n"/>
      <c r="J26" s="121" t="n"/>
      <c r="K26" s="121" t="n"/>
      <c r="L26" s="122" t="n"/>
    </row>
    <row r="27" ht="22" customHeight="1">
      <c r="A27" s="285" t="inlineStr">
        <is>
          <t>Stressed</t>
        </is>
      </c>
      <c r="B27" s="122" t="n"/>
      <c r="C27" s="115" t="inlineStr">
        <is>
          <t>WATCH</t>
        </is>
      </c>
      <c r="D27" s="122" t="n"/>
      <c r="E27" s="219" t="inlineStr">
        <is>
          <t>Tiếp cận limit — chuẩn bị Contingency Funding Plan</t>
        </is>
      </c>
      <c r="F27" s="121" t="n"/>
      <c r="G27" s="121" t="n"/>
      <c r="H27" s="121" t="n"/>
      <c r="I27" s="121" t="n"/>
      <c r="J27" s="121" t="n"/>
      <c r="K27" s="121" t="n"/>
      <c r="L27" s="122" t="n"/>
    </row>
    <row r="28" ht="22" customHeight="1">
      <c r="A28" s="290" t="inlineStr">
        <is>
          <t>Severe</t>
        </is>
      </c>
      <c r="B28" s="122" t="n"/>
      <c r="C28" s="116" t="inlineStr">
        <is>
          <t>BREACH</t>
        </is>
      </c>
      <c r="D28" s="122" t="n"/>
      <c r="E28" s="37" t="inlineStr">
        <is>
          <t>Vượt limit — kích hoạt CLMP (Contingency Liquidity Management Plan)</t>
        </is>
      </c>
      <c r="F28" s="121" t="n"/>
      <c r="G28" s="121" t="n"/>
      <c r="H28" s="121" t="n"/>
      <c r="I28" s="121" t="n"/>
      <c r="J28" s="121" t="n"/>
      <c r="K28" s="121" t="n"/>
      <c r="L28" s="122" t="n"/>
    </row>
    <row r="30" ht="22" customHeight="1">
      <c r="A30" s="233" t="inlineStr">
        <is>
          <t>KHUYẾN NGHỊ HÀNH ĐỘNG CHO ALCO</t>
        </is>
      </c>
      <c r="B30" s="121" t="n"/>
      <c r="C30" s="121" t="n"/>
      <c r="D30" s="121" t="n"/>
      <c r="E30" s="121" t="n"/>
      <c r="F30" s="121" t="n"/>
      <c r="G30" s="121" t="n"/>
      <c r="H30" s="121" t="n"/>
      <c r="I30" s="121" t="n"/>
      <c r="J30" s="121" t="n"/>
      <c r="K30" s="121" t="n"/>
      <c r="L30" s="122" t="n"/>
    </row>
    <row r="31" ht="34" customHeight="1">
      <c r="A31" s="117" t="inlineStr">
        <is>
          <t>SHORT-TERM
(0–30 ngày)</t>
        </is>
      </c>
      <c r="B31" s="122" t="n"/>
      <c r="C31" s="118" t="inlineStr">
        <is>
          <t>Bổ sung HQLA buffer +1,000 tỷ TPCP → mở rộng room SBV OMO cho O/N &amp; 1W gap</t>
        </is>
      </c>
      <c r="D31" s="121" t="n"/>
      <c r="E31" s="121" t="n"/>
      <c r="F31" s="121" t="n"/>
      <c r="G31" s="121" t="n"/>
      <c r="H31" s="121" t="n"/>
      <c r="I31" s="121" t="n"/>
      <c r="J31" s="121" t="n"/>
      <c r="K31" s="121" t="n"/>
      <c r="L31" s="122" t="n"/>
    </row>
    <row r="32" ht="34" customHeight="1">
      <c r="A32" s="119" t="inlineStr">
        <is>
          <t>MEDIUM-TERM
(1–3 tháng)</t>
        </is>
      </c>
      <c r="B32" s="122" t="n"/>
      <c r="C32" s="118" t="inlineStr">
        <is>
          <t>Kéo dài tenor huy động TT1: target 30% danh mục &gt;6M (hiện ~20%)</t>
        </is>
      </c>
      <c r="D32" s="121" t="n"/>
      <c r="E32" s="121" t="n"/>
      <c r="F32" s="121" t="n"/>
      <c r="G32" s="121" t="n"/>
      <c r="H32" s="121" t="n"/>
      <c r="I32" s="121" t="n"/>
      <c r="J32" s="121" t="n"/>
      <c r="K32" s="121" t="n"/>
      <c r="L32" s="122" t="n"/>
    </row>
    <row r="33" ht="34" customHeight="1">
      <c r="A33" s="3" t="inlineStr">
        <is>
          <t>STRUCTURAL
(quarterly)</t>
        </is>
      </c>
      <c r="B33" s="122" t="n"/>
      <c r="C33" s="118" t="inlineStr">
        <is>
          <t>Calibrate lại deposit beta theo profile KH thực tế. Review NMD core stable %</t>
        </is>
      </c>
      <c r="D33" s="121" t="n"/>
      <c r="E33" s="121" t="n"/>
      <c r="F33" s="121" t="n"/>
      <c r="G33" s="121" t="n"/>
      <c r="H33" s="121" t="n"/>
      <c r="I33" s="121" t="n"/>
      <c r="J33" s="121" t="n"/>
      <c r="K33" s="121" t="n"/>
      <c r="L33" s="122" t="n"/>
    </row>
    <row r="34" ht="34" customHeight="1">
      <c r="A34" s="120" t="inlineStr">
        <is>
          <t>MONITORING
(ongoing)</t>
        </is>
      </c>
      <c r="B34" s="122" t="n"/>
      <c r="C34" s="118" t="inlineStr">
        <is>
          <t>Daily: LCR, intraday gap  |  Weekly: deposit runoff  |  Monthly: NSFR, structural funding ratio</t>
        </is>
      </c>
      <c r="D34" s="121" t="n"/>
      <c r="E34" s="121" t="n"/>
      <c r="F34" s="121" t="n"/>
      <c r="G34" s="121" t="n"/>
      <c r="H34" s="121" t="n"/>
      <c r="I34" s="121" t="n"/>
      <c r="J34" s="121" t="n"/>
      <c r="K34" s="121" t="n"/>
      <c r="L34" s="122" t="n"/>
    </row>
    <row r="37">
      <c r="A37" t="inlineStr">
        <is>
          <t>Baseline</t>
        </is>
      </c>
      <c r="B37" t="n">
        <v>-0.47</v>
      </c>
    </row>
    <row r="38">
      <c r="A38" t="inlineStr">
        <is>
          <t>Tight</t>
        </is>
      </c>
      <c r="B38" t="n">
        <v>-2</v>
      </c>
    </row>
    <row r="39">
      <c r="A39" t="inlineStr">
        <is>
          <t>Stressed</t>
        </is>
      </c>
      <c r="B39" t="n">
        <v>-6.04</v>
      </c>
    </row>
    <row r="40">
      <c r="A40" t="inlineStr">
        <is>
          <t>Severe</t>
        </is>
      </c>
      <c r="B40" t="n">
        <v>-1.65</v>
      </c>
    </row>
  </sheetData>
  <mergeCells count="80">
    <mergeCell ref="D20:E20"/>
    <mergeCell ref="J19:K19"/>
    <mergeCell ref="B22:C22"/>
    <mergeCell ref="D22:E22"/>
    <mergeCell ref="B12:C12"/>
    <mergeCell ref="B21:C21"/>
    <mergeCell ref="G14:L14"/>
    <mergeCell ref="D13:E13"/>
    <mergeCell ref="E28:L28"/>
    <mergeCell ref="B14:C14"/>
    <mergeCell ref="C34:L34"/>
    <mergeCell ref="A27:B27"/>
    <mergeCell ref="B13:C13"/>
    <mergeCell ref="A33:B33"/>
    <mergeCell ref="C27:D27"/>
    <mergeCell ref="J21:K21"/>
    <mergeCell ref="A28:B28"/>
    <mergeCell ref="C28:D28"/>
    <mergeCell ref="D10:E10"/>
    <mergeCell ref="G10:L10"/>
    <mergeCell ref="D19:E19"/>
    <mergeCell ref="F19:G19"/>
    <mergeCell ref="B18:C18"/>
    <mergeCell ref="C32:L32"/>
    <mergeCell ref="A5:C5"/>
    <mergeCell ref="B11:C11"/>
    <mergeCell ref="D11:E11"/>
    <mergeCell ref="F20:G20"/>
    <mergeCell ref="F18:G18"/>
    <mergeCell ref="G4:I4"/>
    <mergeCell ref="A4:C4"/>
    <mergeCell ref="C33:L33"/>
    <mergeCell ref="A26:B26"/>
    <mergeCell ref="J20:K20"/>
    <mergeCell ref="D5:F5"/>
    <mergeCell ref="H19:I19"/>
    <mergeCell ref="J22:K22"/>
    <mergeCell ref="D9:E9"/>
    <mergeCell ref="G12:L12"/>
    <mergeCell ref="J5:L5"/>
    <mergeCell ref="A24:L24"/>
    <mergeCell ref="B15:C15"/>
    <mergeCell ref="D15:E15"/>
    <mergeCell ref="A34:B34"/>
    <mergeCell ref="J4:L4"/>
    <mergeCell ref="F21:G21"/>
    <mergeCell ref="A2:L2"/>
    <mergeCell ref="H21:I21"/>
    <mergeCell ref="G5:I5"/>
    <mergeCell ref="B19:C19"/>
    <mergeCell ref="G9:L9"/>
    <mergeCell ref="A32:B32"/>
    <mergeCell ref="F22:G22"/>
    <mergeCell ref="H22:I22"/>
    <mergeCell ref="B9:C9"/>
    <mergeCell ref="E27:L27"/>
    <mergeCell ref="D12:E12"/>
    <mergeCell ref="G11:L11"/>
    <mergeCell ref="E25:L25"/>
    <mergeCell ref="B20:C20"/>
    <mergeCell ref="D14:E14"/>
    <mergeCell ref="A7:L7"/>
    <mergeCell ref="H20:I20"/>
    <mergeCell ref="G13:L13"/>
    <mergeCell ref="C26:D26"/>
    <mergeCell ref="D21:E21"/>
    <mergeCell ref="G15:L15"/>
    <mergeCell ref="A25:B25"/>
    <mergeCell ref="C25:D25"/>
    <mergeCell ref="D4:F4"/>
    <mergeCell ref="A17:L17"/>
    <mergeCell ref="B10:C10"/>
    <mergeCell ref="D18:E18"/>
    <mergeCell ref="E26:L26"/>
    <mergeCell ref="A30:L30"/>
    <mergeCell ref="C31:L31"/>
    <mergeCell ref="A1:L1"/>
    <mergeCell ref="H18:I18"/>
    <mergeCell ref="J18:K18"/>
    <mergeCell ref="A31:B3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06064"/>
    <outlinePr summaryBelow="1" summaryRight="1"/>
    <pageSetUpPr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4" customWidth="1" min="4" max="4"/>
    <col width="16" customWidth="1" min="5" max="5"/>
    <col width="16" customWidth="1" min="6" max="6"/>
    <col width="22" customWidth="1" min="7" max="7"/>
    <col width="13" customWidth="1" min="8" max="8"/>
    <col width="13" customWidth="1" min="9" max="9"/>
    <col width="16" customWidth="1" min="10" max="10"/>
  </cols>
  <sheetData>
    <row r="1" ht="34" customHeight="1">
      <c r="A1" s="215" t="inlineStr">
        <is>
          <t>LCR WATERFALL — LIQUIDITY COVERAGE RATIO (30-DAY STRESS)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2" t="n"/>
    </row>
    <row r="2" ht="18" customHeight="1">
      <c r="A2" s="216" t="inlineStr">
        <is>
          <t>LCR = HQLA / Net Cash Outflows (30d)  &gt;=  100%  |  Ô vàng = INPUT  |  Ô xanh = Formula tự động tính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2" t="n"/>
    </row>
    <row r="4" ht="22" customHeight="1">
      <c r="A4" s="217" t="inlineStr">
        <is>
          <t>SECTION 1 — HQLA STOCK (High Quality Liquid Assets)</t>
        </is>
      </c>
      <c r="B4" s="121" t="n"/>
      <c r="C4" s="121" t="n"/>
      <c r="D4" s="121" t="n"/>
      <c r="E4" s="121" t="n"/>
      <c r="F4" s="121" t="n"/>
      <c r="G4" s="121" t="n"/>
      <c r="H4" s="121" t="n"/>
      <c r="I4" s="121" t="n"/>
      <c r="J4" s="122" t="n"/>
    </row>
    <row r="5" ht="30" customHeight="1">
      <c r="A5" s="3" t="inlineStr">
        <is>
          <t>Loại tài sản</t>
        </is>
      </c>
      <c r="B5" s="3" t="inlineStr">
        <is>
          <t>Số dư
(tỷ VND)</t>
        </is>
      </c>
      <c r="C5" s="3" t="inlineStr">
        <is>
          <t>Haircut
%</t>
        </is>
      </c>
      <c r="D5" s="3" t="inlineStr">
        <is>
          <t>Adj. value
(tỷ) [formula]</t>
        </is>
      </c>
      <c r="E5" s="3" t="inlineStr">
        <is>
          <t>Cap applied
(tỷ) [formula]</t>
        </is>
      </c>
      <c r="F5" s="3" t="inlineStr">
        <is>
          <t>Quy tắc cap Basel III</t>
        </is>
      </c>
      <c r="G5" s="3" t="inlineStr">
        <is>
          <t>Ghi chú</t>
        </is>
      </c>
    </row>
    <row r="6" ht="22" customHeight="1">
      <c r="A6" s="218" t="inlineStr">
        <is>
          <t>Level 1 — Haircut 0%,  không có cap riêng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2" t="n"/>
    </row>
    <row r="7" ht="18" customHeight="1">
      <c r="A7" s="219" t="inlineStr">
        <is>
          <t xml:space="preserve">  Tiền mặt + gửi NHNN (excess reserves)</t>
        </is>
      </c>
      <c r="B7" s="220" t="n">
        <v>2000</v>
      </c>
      <c r="C7" s="221" t="n">
        <v>0</v>
      </c>
      <c r="D7" s="222">
        <f>B7*(1-C7)</f>
        <v/>
      </c>
      <c r="E7" s="222">
        <f>D7</f>
        <v/>
      </c>
      <c r="F7" s="223" t="inlineStr">
        <is>
          <t>Không cap</t>
        </is>
      </c>
      <c r="G7" s="223" t="inlineStr">
        <is>
          <t>Dự trữ bắt buộc + tiền mặt</t>
        </is>
      </c>
    </row>
    <row r="8" ht="18" customHeight="1">
      <c r="A8" s="224" t="inlineStr">
        <is>
          <t xml:space="preserve">  TPCP Việt Nam (0% risk weight) — tổng danh mục</t>
        </is>
      </c>
      <c r="B8" s="220" t="n">
        <v>12000</v>
      </c>
      <c r="C8" s="221" t="n">
        <v>0</v>
      </c>
      <c r="D8" s="222">
        <f>B8*(1-C8)</f>
        <v/>
      </c>
      <c r="E8" s="222">
        <f>D8</f>
        <v/>
      </c>
      <c r="F8" s="225" t="inlineStr">
        <is>
          <t>Không cap</t>
        </is>
      </c>
      <c r="G8" s="225" t="inlineStr">
        <is>
          <t>TPCP 1Y / 3Y / 5Y từ HQLA pool</t>
        </is>
      </c>
    </row>
    <row r="9" ht="18" customHeight="1">
      <c r="A9" s="219" t="inlineStr">
        <is>
          <t xml:space="preserve">  Tín phiếu SBV</t>
        </is>
      </c>
      <c r="B9" s="220" t="n">
        <v>0</v>
      </c>
      <c r="C9" s="221" t="n">
        <v>0</v>
      </c>
      <c r="D9" s="222">
        <f>B9*(1-C9)</f>
        <v/>
      </c>
      <c r="E9" s="222">
        <f>D9</f>
        <v/>
      </c>
      <c r="F9" s="223" t="inlineStr">
        <is>
          <t>Không cap</t>
        </is>
      </c>
      <c r="G9" s="223" t="inlineStr"/>
    </row>
    <row r="10" ht="18" customHeight="1">
      <c r="A10" s="224" t="inlineStr">
        <is>
          <t xml:space="preserve">  Gửi SBV vượt DTBB</t>
        </is>
      </c>
      <c r="B10" s="220" t="n">
        <v>500</v>
      </c>
      <c r="C10" s="221" t="n">
        <v>0</v>
      </c>
      <c r="D10" s="222">
        <f>B10*(1-C10)</f>
        <v/>
      </c>
      <c r="E10" s="222">
        <f>D10</f>
        <v/>
      </c>
      <c r="F10" s="225" t="inlineStr">
        <is>
          <t>Không cap</t>
        </is>
      </c>
      <c r="G10" s="225" t="inlineStr"/>
    </row>
    <row r="11" ht="22" customHeight="1">
      <c r="A11" s="226" t="inlineStr">
        <is>
          <t>TỔNG LEVEL 1</t>
        </is>
      </c>
      <c r="B11" s="121" t="n"/>
      <c r="C11" s="122" t="n"/>
      <c r="D11" s="227">
        <f>SUM(D7:D10)</f>
        <v/>
      </c>
      <c r="E11" s="227">
        <f>D11</f>
        <v/>
      </c>
      <c r="F11" s="226">
        <f> 100% của giá trị điều chỉnh</f>
        <v/>
      </c>
      <c r="G11" s="122" t="n"/>
    </row>
    <row r="12" ht="22" customHeight="1">
      <c r="A12" s="228" t="inlineStr">
        <is>
          <t>Level 2A — Haircut 15%,  cap: &lt;= 40% Adjusted HQLA</t>
        </is>
      </c>
      <c r="B12" s="121" t="n"/>
      <c r="C12" s="121" t="n"/>
      <c r="D12" s="121" t="n"/>
      <c r="E12" s="121" t="n"/>
      <c r="F12" s="121" t="n"/>
      <c r="G12" s="121" t="n"/>
      <c r="H12" s="121" t="n"/>
      <c r="I12" s="121" t="n"/>
      <c r="J12" s="122" t="n"/>
    </row>
    <row r="13" ht="18" customHeight="1">
      <c r="A13" s="219" t="inlineStr">
        <is>
          <t xml:space="preserve">  Agency / GSE securities</t>
        </is>
      </c>
      <c r="B13" s="220" t="n">
        <v>0</v>
      </c>
      <c r="C13" s="221" t="n">
        <v>0.15</v>
      </c>
      <c r="D13" s="222">
        <f>B13*(1-C13)</f>
        <v/>
      </c>
      <c r="E13" s="222">
        <f>D13</f>
        <v/>
      </c>
      <c r="F13" s="223" t="inlineStr">
        <is>
          <t>Cap 40%</t>
        </is>
      </c>
      <c r="G13" s="223" t="inlineStr"/>
    </row>
    <row r="14" ht="18" customHeight="1">
      <c r="A14" s="224" t="inlineStr">
        <is>
          <t xml:space="preserve">  Covered bonds rated &gt;= AA-</t>
        </is>
      </c>
      <c r="B14" s="220" t="n">
        <v>0</v>
      </c>
      <c r="C14" s="221" t="n">
        <v>0.15</v>
      </c>
      <c r="D14" s="222">
        <f>B14*(1-C14)</f>
        <v/>
      </c>
      <c r="E14" s="222">
        <f>D14</f>
        <v/>
      </c>
      <c r="F14" s="225" t="inlineStr">
        <is>
          <t>Cap 40%</t>
        </is>
      </c>
      <c r="G14" s="225" t="inlineStr"/>
    </row>
    <row r="15" ht="18" customHeight="1">
      <c r="A15" s="219" t="inlineStr">
        <is>
          <t xml:space="preserve">  TPCP nước ngoài (0% RW, nội tệ)</t>
        </is>
      </c>
      <c r="B15" s="220" t="n">
        <v>0</v>
      </c>
      <c r="C15" s="221" t="n">
        <v>0.15</v>
      </c>
      <c r="D15" s="222">
        <f>B15*(1-C15)</f>
        <v/>
      </c>
      <c r="E15" s="222">
        <f>D15</f>
        <v/>
      </c>
      <c r="F15" s="223" t="inlineStr">
        <is>
          <t>Cap 40%</t>
        </is>
      </c>
      <c r="G15" s="223" t="inlineStr"/>
    </row>
    <row r="16" ht="22" customHeight="1">
      <c r="A16" s="228" t="inlineStr">
        <is>
          <t>TỔNG LEVEL 2A (sau haircut, trước cap)</t>
        </is>
      </c>
      <c r="B16" s="121" t="n"/>
      <c r="C16" s="122" t="n"/>
      <c r="D16" s="229">
        <f>SUM(D13:D15)</f>
        <v/>
      </c>
      <c r="E16" s="229">
        <f>MIN(D16, 0.4*(D11+D16))</f>
        <v/>
      </c>
      <c r="F16" s="228" t="inlineStr">
        <is>
          <t>Cap: MIN(L2A_adj, 40% x (L1+L2A))</t>
        </is>
      </c>
      <c r="G16" s="122" t="n"/>
    </row>
    <row r="17" ht="22" customHeight="1">
      <c r="A17" s="230" t="inlineStr">
        <is>
          <t>Level 2B — Haircut 25-50%,  cap: &lt;= 15% Adjusted HQLA</t>
        </is>
      </c>
      <c r="B17" s="121" t="n"/>
      <c r="C17" s="121" t="n"/>
      <c r="D17" s="121" t="n"/>
      <c r="E17" s="121" t="n"/>
      <c r="F17" s="121" t="n"/>
      <c r="G17" s="121" t="n"/>
      <c r="H17" s="121" t="n"/>
      <c r="I17" s="121" t="n"/>
      <c r="J17" s="122" t="n"/>
    </row>
    <row r="18" ht="18" customHeight="1">
      <c r="A18" s="224" t="inlineStr">
        <is>
          <t xml:space="preserve">  Trái phiếu DN investment grade (BBB-/A+)</t>
        </is>
      </c>
      <c r="B18" s="220" t="n">
        <v>2000</v>
      </c>
      <c r="C18" s="221" t="n">
        <v>0.25</v>
      </c>
      <c r="D18" s="222">
        <f>B18*(1-C18)</f>
        <v/>
      </c>
      <c r="E18" s="222">
        <f>D18</f>
        <v/>
      </c>
      <c r="F18" s="225" t="inlineStr">
        <is>
          <t>Cap 15%</t>
        </is>
      </c>
      <c r="G18" s="225" t="inlineStr">
        <is>
          <t>Haircut 25%</t>
        </is>
      </c>
    </row>
    <row r="19" ht="18" customHeight="1">
      <c r="A19" s="219" t="inlineStr">
        <is>
          <t xml:space="preserve">  Cổ phiếu niêm yết (index eligible)</t>
        </is>
      </c>
      <c r="B19" s="220" t="n">
        <v>0</v>
      </c>
      <c r="C19" s="221" t="n">
        <v>0.5</v>
      </c>
      <c r="D19" s="222">
        <f>B19*(1-C19)</f>
        <v/>
      </c>
      <c r="E19" s="222">
        <f>D19</f>
        <v/>
      </c>
      <c r="F19" s="223" t="inlineStr">
        <is>
          <t>Cap 15%</t>
        </is>
      </c>
      <c r="G19" s="223" t="inlineStr">
        <is>
          <t>Haircut 50%</t>
        </is>
      </c>
    </row>
    <row r="20" ht="18" customHeight="1">
      <c r="A20" s="224" t="inlineStr">
        <is>
          <t xml:space="preserve">  RMBS &gt;= AA-</t>
        </is>
      </c>
      <c r="B20" s="220" t="n">
        <v>0</v>
      </c>
      <c r="C20" s="221" t="n">
        <v>0.25</v>
      </c>
      <c r="D20" s="222">
        <f>B20*(1-C20)</f>
        <v/>
      </c>
      <c r="E20" s="222">
        <f>D20</f>
        <v/>
      </c>
      <c r="F20" s="225" t="inlineStr">
        <is>
          <t>Cap 15%</t>
        </is>
      </c>
      <c r="G20" s="225" t="inlineStr"/>
    </row>
    <row r="21" ht="22" customHeight="1">
      <c r="A21" s="230" t="inlineStr">
        <is>
          <t>TỔNG LEVEL 2B (sau haircut, trước cap)</t>
        </is>
      </c>
      <c r="B21" s="121" t="n"/>
      <c r="C21" s="122" t="n"/>
      <c r="D21" s="231">
        <f>SUM(D18:D20)</f>
        <v/>
      </c>
      <c r="E21" s="231">
        <f>MIN(D21, 0.15*(D11+E16+D21))</f>
        <v/>
      </c>
      <c r="F21" s="230" t="inlineStr">
        <is>
          <t>Cap: MIN(L2B_adj, 15% x (L1+L2A_cap+L2B))</t>
        </is>
      </c>
      <c r="G21" s="122" t="n"/>
    </row>
    <row r="22" ht="26" customHeight="1">
      <c r="A22" s="232" t="inlineStr">
        <is>
          <t>TỔNG HQLA ADJUSTED</t>
        </is>
      </c>
      <c r="B22" s="121" t="n"/>
      <c r="C22" s="122" t="n"/>
      <c r="E22" s="227">
        <f>D11+E16+E21</f>
        <v/>
      </c>
      <c r="F22" s="226">
        <f>"L1: "&amp;TEXT(D11,"#,##0")&amp;" + L2A: "&amp;TEXT(E16,"#,##0")&amp;" + L2B: "&amp;TEXT(E21,"#,##0")</f>
        <v/>
      </c>
      <c r="G22" s="122" t="n"/>
    </row>
    <row r="24" ht="22" customHeight="1">
      <c r="A24" s="233" t="inlineStr">
        <is>
          <t>SECTION 2 — STRESS OUTFLOWS 30 NGAY  (dong chay ra stressed)</t>
        </is>
      </c>
      <c r="B24" s="121" t="n"/>
      <c r="C24" s="121" t="n"/>
      <c r="D24" s="121" t="n"/>
      <c r="E24" s="121" t="n"/>
      <c r="F24" s="121" t="n"/>
      <c r="G24" s="121" t="n"/>
      <c r="H24" s="121" t="n"/>
      <c r="I24" s="121" t="n"/>
      <c r="J24" s="122" t="n"/>
    </row>
    <row r="25" ht="30" customHeight="1">
      <c r="A25" s="3" t="inlineStr">
        <is>
          <t>Loại outflow</t>
        </is>
      </c>
      <c r="B25" s="3" t="inlineStr">
        <is>
          <t>Số dư
(tỷ)</t>
        </is>
      </c>
      <c r="C25" s="3" t="inlineStr">
        <is>
          <t>Basel III
runoff %</t>
        </is>
      </c>
      <c r="D25" s="3" t="inlineStr">
        <is>
          <t>VN stressed
runoff % [INPUT]</t>
        </is>
      </c>
      <c r="E25" s="3" t="inlineStr">
        <is>
          <t>Outflow
(tỷ) [formula]</t>
        </is>
      </c>
      <c r="F25" s="3" t="inlineStr">
        <is>
          <t>Ghi chú Basel III</t>
        </is>
      </c>
      <c r="G25" s="3" t="inlineStr"/>
    </row>
    <row r="26" ht="22" customHeight="1">
      <c r="A26" s="218" t="inlineStr">
        <is>
          <t>2.1 Tiền gửi bán lẻ — Retail Deposits</t>
        </is>
      </c>
      <c r="B26" s="121" t="n"/>
      <c r="C26" s="121" t="n"/>
      <c r="D26" s="121" t="n"/>
      <c r="E26" s="121" t="n"/>
      <c r="F26" s="121" t="n"/>
      <c r="G26" s="121" t="n"/>
      <c r="H26" s="121" t="n"/>
      <c r="I26" s="121" t="n"/>
      <c r="J26" s="122" t="n"/>
    </row>
    <row r="27" ht="18" customHeight="1">
      <c r="A27" s="219" t="inlineStr">
        <is>
          <t xml:space="preserve">  Tiền gửi KKH retail — core stable (65%)</t>
        </is>
      </c>
      <c r="B27" s="220" t="n">
        <v>3900</v>
      </c>
      <c r="C27" s="234" t="n">
        <v>0.03</v>
      </c>
      <c r="D27" s="234" t="n">
        <v>0.05</v>
      </c>
      <c r="E27" s="235">
        <f>B27*D27</f>
        <v/>
      </c>
      <c r="F27" s="223" t="inlineStr">
        <is>
          <t>Stable deposits: 3%</t>
        </is>
      </c>
      <c r="G27" s="122" t="n"/>
    </row>
    <row r="28" ht="18" customHeight="1">
      <c r="A28" s="224" t="inlineStr">
        <is>
          <t xml:space="preserve">  Tiền gửi KKH retail — volatile (35%)</t>
        </is>
      </c>
      <c r="B28" s="220" t="n">
        <v>2100</v>
      </c>
      <c r="C28" s="234" t="n">
        <v>0.1</v>
      </c>
      <c r="D28" s="234" t="n">
        <v>0.1</v>
      </c>
      <c r="E28" s="235">
        <f>B28*D28</f>
        <v/>
      </c>
      <c r="F28" s="225" t="inlineStr">
        <is>
          <t>Less stable: 10%</t>
        </is>
      </c>
      <c r="G28" s="122" t="n"/>
    </row>
    <row r="29" ht="18" customHeight="1">
      <c r="A29" s="219" t="inlineStr">
        <is>
          <t xml:space="preserve">  Tiền tiết kiệm 1M (retail)</t>
        </is>
      </c>
      <c r="B29" s="220" t="n">
        <v>5000</v>
      </c>
      <c r="C29" s="234" t="n">
        <v>0.1</v>
      </c>
      <c r="D29" s="234" t="n">
        <v>0.1</v>
      </c>
      <c r="E29" s="235">
        <f>B29*D29</f>
        <v/>
      </c>
      <c r="F29" s="223" t="inlineStr">
        <is>
          <t>Less stable retail: 10%</t>
        </is>
      </c>
      <c r="G29" s="122" t="n"/>
    </row>
    <row r="30" ht="18" customHeight="1">
      <c r="A30" s="224" t="inlineStr">
        <is>
          <t xml:space="preserve">  Tiền gửi kỳ hạn 3M (retail)</t>
        </is>
      </c>
      <c r="B30" s="220" t="n">
        <v>4000</v>
      </c>
      <c r="C30" s="234" t="n">
        <v>0.1</v>
      </c>
      <c r="D30" s="234" t="n">
        <v>0.08</v>
      </c>
      <c r="E30" s="235">
        <f>B30*D30</f>
        <v/>
      </c>
      <c r="F30" s="225" t="inlineStr"/>
      <c r="G30" s="122" t="n"/>
    </row>
    <row r="31" ht="18" customHeight="1">
      <c r="A31" s="219" t="inlineStr">
        <is>
          <t xml:space="preserve">  Tiền gửi kỳ hạn 6M (retail)</t>
        </is>
      </c>
      <c r="B31" s="220" t="n">
        <v>6000</v>
      </c>
      <c r="C31" s="234" t="n">
        <v>0.05</v>
      </c>
      <c r="D31" s="234" t="n">
        <v>0.05</v>
      </c>
      <c r="E31" s="235">
        <f>B31*D31</f>
        <v/>
      </c>
      <c r="F31" s="223" t="inlineStr">
        <is>
          <t>Tenor dài — runoff thấp</t>
        </is>
      </c>
      <c r="G31" s="122" t="n"/>
    </row>
    <row r="32" ht="18" customHeight="1">
      <c r="A32" s="224" t="inlineStr">
        <is>
          <t xml:space="preserve">  Tiền gửi kỳ hạn 12M+ (retail)</t>
        </is>
      </c>
      <c r="B32" s="220" t="n">
        <v>7500</v>
      </c>
      <c r="C32" s="234" t="n">
        <v>0.03</v>
      </c>
      <c r="D32" s="234" t="n">
        <v>0.03</v>
      </c>
      <c r="E32" s="235">
        <f>B32*D32</f>
        <v/>
      </c>
      <c r="F32" s="225" t="inlineStr"/>
      <c r="G32" s="122" t="n"/>
    </row>
    <row r="33" ht="20" customHeight="1">
      <c r="A33" s="218" t="inlineStr">
        <is>
          <t>Tổng outflow — Retail Deposits</t>
        </is>
      </c>
      <c r="B33" s="121" t="n"/>
      <c r="C33" s="121" t="n"/>
      <c r="D33" s="122" t="n"/>
      <c r="E33" s="236">
        <f>SUM(E27:E32)</f>
        <v/>
      </c>
      <c r="F33" s="237" t="inlineStr"/>
      <c r="G33" s="122" t="n"/>
    </row>
    <row r="34" ht="22" customHeight="1">
      <c r="A34" s="238" t="inlineStr">
        <is>
          <t>2.2 Tiền gửi tổ chức — Wholesale Deposits</t>
        </is>
      </c>
      <c r="B34" s="121" t="n"/>
      <c r="C34" s="121" t="n"/>
      <c r="D34" s="121" t="n"/>
      <c r="E34" s="121" t="n"/>
      <c r="F34" s="121" t="n"/>
      <c r="G34" s="121" t="n"/>
      <c r="H34" s="121" t="n"/>
      <c r="I34" s="121" t="n"/>
      <c r="J34" s="122" t="n"/>
    </row>
    <row r="35" ht="18" customHeight="1">
      <c r="A35" s="219" t="inlineStr">
        <is>
          <t xml:space="preserve">  Tiền gửi KKH corporate — operational</t>
        </is>
      </c>
      <c r="B35" s="220" t="n">
        <v>2400</v>
      </c>
      <c r="C35" s="234" t="n">
        <v>0.25</v>
      </c>
      <c r="D35" s="234" t="n">
        <v>0.25</v>
      </c>
      <c r="E35" s="235">
        <f>B35*D35</f>
        <v/>
      </c>
      <c r="F35" s="223" t="inlineStr">
        <is>
          <t>Operational deposits = 25%</t>
        </is>
      </c>
      <c r="G35" s="122" t="n"/>
    </row>
    <row r="36" ht="18" customHeight="1">
      <c r="A36" s="224" t="inlineStr">
        <is>
          <t xml:space="preserve">  Tiền gửi KKH corporate — non-operational</t>
        </is>
      </c>
      <c r="B36" s="220" t="n">
        <v>1600</v>
      </c>
      <c r="C36" s="234" t="n">
        <v>0.4</v>
      </c>
      <c r="D36" s="234" t="n">
        <v>0.4</v>
      </c>
      <c r="E36" s="235">
        <f>B36*D36</f>
        <v/>
      </c>
      <c r="F36" s="225" t="inlineStr">
        <is>
          <t>Non-operational = 40%</t>
        </is>
      </c>
      <c r="G36" s="122" t="n"/>
    </row>
    <row r="37" ht="18" customHeight="1">
      <c r="A37" s="219" t="inlineStr">
        <is>
          <t xml:space="preserve">  Tiền gửi kỳ hạn 3M corporate</t>
        </is>
      </c>
      <c r="B37" s="220" t="n">
        <v>4000</v>
      </c>
      <c r="C37" s="234" t="n">
        <v>0.2</v>
      </c>
      <c r="D37" s="234" t="n">
        <v>0.2</v>
      </c>
      <c r="E37" s="235">
        <f>B37*D37</f>
        <v/>
      </c>
      <c r="F37" s="223" t="inlineStr">
        <is>
          <t>Non-financial wholesale: 20%</t>
        </is>
      </c>
      <c r="G37" s="122" t="n"/>
    </row>
    <row r="38" ht="18" customHeight="1">
      <c r="A38" s="224" t="inlineStr">
        <is>
          <t xml:space="preserve">  Tiền gửi kỳ hạn 6M corporate</t>
        </is>
      </c>
      <c r="B38" s="220" t="n">
        <v>6000</v>
      </c>
      <c r="C38" s="234" t="n">
        <v>0.1</v>
      </c>
      <c r="D38" s="234" t="n">
        <v>0.1</v>
      </c>
      <c r="E38" s="235">
        <f>B38*D38</f>
        <v/>
      </c>
      <c r="F38" s="225" t="inlineStr"/>
      <c r="G38" s="122" t="n"/>
    </row>
    <row r="39" ht="18" customHeight="1">
      <c r="A39" s="219" t="inlineStr">
        <is>
          <t xml:space="preserve">  Tiền gửi kỳ hạn 12M corporate</t>
        </is>
      </c>
      <c r="B39" s="220" t="n">
        <v>2500</v>
      </c>
      <c r="C39" s="234" t="n">
        <v>0.05</v>
      </c>
      <c r="D39" s="234" t="n">
        <v>0.05</v>
      </c>
      <c r="E39" s="235">
        <f>B39*D39</f>
        <v/>
      </c>
      <c r="F39" s="223" t="inlineStr"/>
      <c r="G39" s="122" t="n"/>
    </row>
    <row r="40" ht="18" customHeight="1">
      <c r="A40" s="224" t="inlineStr">
        <is>
          <t xml:space="preserve">  Tiền gửi tổ chức tài chính</t>
        </is>
      </c>
      <c r="B40" s="220" t="n">
        <v>0</v>
      </c>
      <c r="C40" s="234" t="n">
        <v>1</v>
      </c>
      <c r="D40" s="234" t="n">
        <v>1</v>
      </c>
      <c r="E40" s="235">
        <f>B40*D40</f>
        <v/>
      </c>
      <c r="F40" s="225" t="inlineStr">
        <is>
          <t>Financial entity non-op: 100%</t>
        </is>
      </c>
      <c r="G40" s="122" t="n"/>
    </row>
    <row r="41" ht="20" customHeight="1">
      <c r="A41" s="238" t="inlineStr">
        <is>
          <t>Tổng outflow — Wholesale Deposits</t>
        </is>
      </c>
      <c r="B41" s="121" t="n"/>
      <c r="C41" s="121" t="n"/>
      <c r="D41" s="122" t="n"/>
      <c r="E41" s="239">
        <f>SUM(E35:E40)</f>
        <v/>
      </c>
      <c r="F41" s="240" t="inlineStr"/>
      <c r="G41" s="122" t="n"/>
    </row>
    <row r="42" ht="22" customHeight="1">
      <c r="A42" s="241" t="inlineStr">
        <is>
          <t>2.3 Secured Funding / Vay có bảo đảm</t>
        </is>
      </c>
      <c r="B42" s="121" t="n"/>
      <c r="C42" s="121" t="n"/>
      <c r="D42" s="121" t="n"/>
      <c r="E42" s="121" t="n"/>
      <c r="F42" s="121" t="n"/>
      <c r="G42" s="121" t="n"/>
      <c r="H42" s="121" t="n"/>
      <c r="I42" s="121" t="n"/>
      <c r="J42" s="122" t="n"/>
    </row>
    <row r="43" ht="18" customHeight="1">
      <c r="A43" s="219" t="inlineStr">
        <is>
          <t xml:space="preserve">  Repo TPCP với SBV OMO đáo hạn</t>
        </is>
      </c>
      <c r="B43" s="220" t="n">
        <v>0</v>
      </c>
      <c r="C43" s="234" t="n">
        <v>0</v>
      </c>
      <c r="D43" s="234" t="n">
        <v>0</v>
      </c>
      <c r="E43" s="235">
        <f>B43*D43</f>
        <v/>
      </c>
      <c r="F43" s="223" t="inlineStr">
        <is>
          <t>Backed by L1, CB counterparty: 0%</t>
        </is>
      </c>
      <c r="G43" s="122" t="n"/>
    </row>
    <row r="44" ht="18" customHeight="1">
      <c r="A44" s="224" t="inlineStr">
        <is>
          <t xml:space="preserve">  Repo TPCP với LNH đáo hạn</t>
        </is>
      </c>
      <c r="B44" s="220" t="n">
        <v>2000</v>
      </c>
      <c r="C44" s="234" t="n">
        <v>0.15</v>
      </c>
      <c r="D44" s="234" t="n">
        <v>0.15</v>
      </c>
      <c r="E44" s="235">
        <f>B44*D44</f>
        <v/>
      </c>
      <c r="F44" s="225" t="inlineStr">
        <is>
          <t>Backed by L1, non-CB: 15%</t>
        </is>
      </c>
      <c r="G44" s="122" t="n"/>
    </row>
    <row r="45" ht="18" customHeight="1">
      <c r="A45" s="219" t="inlineStr">
        <is>
          <t xml:space="preserve">  Vay LNH unsecured — O/N</t>
        </is>
      </c>
      <c r="B45" s="220" t="n">
        <v>1000</v>
      </c>
      <c r="C45" s="234" t="n">
        <v>1</v>
      </c>
      <c r="D45" s="234" t="n">
        <v>1</v>
      </c>
      <c r="E45" s="235">
        <f>B45*D45</f>
        <v/>
      </c>
      <c r="F45" s="223" t="inlineStr">
        <is>
          <t>Unsecured wholesale: 100%</t>
        </is>
      </c>
      <c r="G45" s="122" t="n"/>
    </row>
    <row r="46" ht="18" customHeight="1">
      <c r="A46" s="224" t="inlineStr">
        <is>
          <t xml:space="preserve">  Vay LNH unsecured — 1W</t>
        </is>
      </c>
      <c r="B46" s="220" t="n">
        <v>2000</v>
      </c>
      <c r="C46" s="234" t="n">
        <v>1</v>
      </c>
      <c r="D46" s="234" t="n">
        <v>1</v>
      </c>
      <c r="E46" s="235">
        <f>B46*D46</f>
        <v/>
      </c>
      <c r="F46" s="225" t="inlineStr">
        <is>
          <t>Unsecured wholesale: 100%</t>
        </is>
      </c>
      <c r="G46" s="122" t="n"/>
    </row>
    <row r="47" ht="18" customHeight="1">
      <c r="A47" s="219" t="inlineStr">
        <is>
          <t xml:space="preserve">  Vay LNH unsecured — 1M</t>
        </is>
      </c>
      <c r="B47" s="220" t="n">
        <v>1500</v>
      </c>
      <c r="C47" s="234" t="n">
        <v>1</v>
      </c>
      <c r="D47" s="234" t="n">
        <v>1</v>
      </c>
      <c r="E47" s="235">
        <f>B47*D47</f>
        <v/>
      </c>
      <c r="F47" s="223" t="inlineStr">
        <is>
          <t>Unsecured wholesale: 100%</t>
        </is>
      </c>
      <c r="G47" s="122" t="n"/>
    </row>
    <row r="48" ht="20" customHeight="1">
      <c r="A48" s="241" t="inlineStr">
        <is>
          <t>Tổng outflow — 2.3 Secured Funding / Vay có bảo đảm</t>
        </is>
      </c>
      <c r="B48" s="121" t="n"/>
      <c r="C48" s="121" t="n"/>
      <c r="D48" s="122" t="n"/>
      <c r="E48" s="242">
        <f>SUM(E43:E47)</f>
        <v/>
      </c>
      <c r="F48" s="243" t="inlineStr"/>
      <c r="G48" s="122" t="n"/>
    </row>
    <row r="49" ht="22" customHeight="1">
      <c r="A49" s="244" t="inlineStr">
        <is>
          <t>2.4 Cam kết ngoại bảng — Off-Balance Sheet</t>
        </is>
      </c>
      <c r="B49" s="121" t="n"/>
      <c r="C49" s="121" t="n"/>
      <c r="D49" s="121" t="n"/>
      <c r="E49" s="121" t="n"/>
      <c r="F49" s="121" t="n"/>
      <c r="G49" s="121" t="n"/>
      <c r="H49" s="121" t="n"/>
      <c r="I49" s="121" t="n"/>
      <c r="J49" s="122" t="n"/>
    </row>
    <row r="50" ht="18" customHeight="1">
      <c r="A50" s="224" t="inlineStr">
        <is>
          <t xml:space="preserve">  Hạn mức tín dụng retail chưa giải ngân</t>
        </is>
      </c>
      <c r="B50" s="220" t="n">
        <v>1500</v>
      </c>
      <c r="C50" s="234" t="n">
        <v>0.05</v>
      </c>
      <c r="D50" s="234" t="n">
        <v>0.05</v>
      </c>
      <c r="E50" s="235">
        <f>B50*D50</f>
        <v/>
      </c>
      <c r="F50" s="225" t="inlineStr">
        <is>
          <t>Committed revolving retail: 5%</t>
        </is>
      </c>
      <c r="G50" s="122" t="n"/>
    </row>
    <row r="51" ht="18" customHeight="1">
      <c r="A51" s="219" t="inlineStr">
        <is>
          <t xml:space="preserve">  Hạn mức tín dụng corporate non-financial</t>
        </is>
      </c>
      <c r="B51" s="220" t="n">
        <v>2500</v>
      </c>
      <c r="C51" s="234" t="n">
        <v>0.1</v>
      </c>
      <c r="D51" s="234" t="n">
        <v>0.1</v>
      </c>
      <c r="E51" s="235">
        <f>B51*D51</f>
        <v/>
      </c>
      <c r="F51" s="223" t="inlineStr">
        <is>
          <t>Committed credit lines: 10%</t>
        </is>
      </c>
      <c r="G51" s="122" t="n"/>
    </row>
    <row r="52" ht="18" customHeight="1">
      <c r="A52" s="224" t="inlineStr">
        <is>
          <t xml:space="preserve">  Hạn mức tín dụng financial entities</t>
        </is>
      </c>
      <c r="B52" s="220" t="n">
        <v>1000</v>
      </c>
      <c r="C52" s="234" t="n">
        <v>0.4</v>
      </c>
      <c r="D52" s="234" t="n">
        <v>0.4</v>
      </c>
      <c r="E52" s="235">
        <f>B52*D52</f>
        <v/>
      </c>
      <c r="F52" s="225" t="inlineStr">
        <is>
          <t>Financial entity facilities: 40%</t>
        </is>
      </c>
      <c r="G52" s="122" t="n"/>
    </row>
    <row r="53" ht="18" customHeight="1">
      <c r="A53" s="219" t="inlineStr">
        <is>
          <t xml:space="preserve">  Bảo lãnh &amp; L/C có thể bị call</t>
        </is>
      </c>
      <c r="B53" s="220" t="n">
        <v>500</v>
      </c>
      <c r="C53" s="234" t="n">
        <v>0.05</v>
      </c>
      <c r="D53" s="234" t="n">
        <v>0.05</v>
      </c>
      <c r="E53" s="235">
        <f>B53*D53</f>
        <v/>
      </c>
      <c r="F53" s="223" t="inlineStr">
        <is>
          <t>Trade finance: 5%</t>
        </is>
      </c>
      <c r="G53" s="122" t="n"/>
    </row>
    <row r="54" ht="20" customHeight="1">
      <c r="A54" s="244" t="inlineStr">
        <is>
          <t>Tổng outflow — Off-Balance Sheet</t>
        </is>
      </c>
      <c r="B54" s="121" t="n"/>
      <c r="C54" s="121" t="n"/>
      <c r="D54" s="122" t="n"/>
      <c r="E54" s="245">
        <f>SUM(E50:E53)</f>
        <v/>
      </c>
      <c r="F54" s="246" t="inlineStr"/>
      <c r="G54" s="122" t="n"/>
    </row>
    <row r="56" ht="26" customHeight="1">
      <c r="A56" s="247" t="inlineStr">
        <is>
          <t>TỔNG GROSS OUTFLOWS (30 ngày)</t>
        </is>
      </c>
      <c r="B56" s="121" t="n"/>
      <c r="C56" s="121" t="n"/>
      <c r="D56" s="122" t="n"/>
      <c r="E56" s="248">
        <f>E33+E41+E48+E54</f>
        <v/>
      </c>
      <c r="F56" s="249">
        <f>"Retail "&amp;TEXT(E33,"#,##0")&amp;" + WS "&amp;TEXT(E41,"#,##0")&amp;" + Sec "&amp;TEXT(E48,"#,##0")&amp;" + OBS "&amp;TEXT(E54,"#,##0")</f>
        <v/>
      </c>
      <c r="G56" s="122" t="n"/>
    </row>
    <row r="58" ht="22" customHeight="1">
      <c r="A58" s="233" t="inlineStr">
        <is>
          <t>SECTION 3 — STRESS INFLOWS 30 NGAY  (cap 75% of Gross Outflows)</t>
        </is>
      </c>
      <c r="B58" s="121" t="n"/>
      <c r="C58" s="121" t="n"/>
      <c r="D58" s="121" t="n"/>
      <c r="E58" s="121" t="n"/>
      <c r="F58" s="121" t="n"/>
      <c r="G58" s="121" t="n"/>
      <c r="H58" s="121" t="n"/>
      <c r="I58" s="121" t="n"/>
      <c r="J58" s="122" t="n"/>
    </row>
    <row r="59" ht="30" customHeight="1">
      <c r="A59" s="3" t="inlineStr">
        <is>
          <t>Loại inflow</t>
        </is>
      </c>
      <c r="B59" s="3" t="inlineStr">
        <is>
          <t>Số dư / hạn mức
(tỷ)</t>
        </is>
      </c>
      <c r="C59" s="3" t="inlineStr">
        <is>
          <t>Inflow
rate %</t>
        </is>
      </c>
      <c r="D59" s="3" t="inlineStr"/>
      <c r="E59" s="3" t="inlineStr">
        <is>
          <t>Inflow amount
(tỷ) [formula]</t>
        </is>
      </c>
      <c r="F59" s="3" t="inlineStr">
        <is>
          <t>Ghi chú Basel III</t>
        </is>
      </c>
      <c r="G59" s="3" t="inlineStr"/>
    </row>
    <row r="60" ht="18" customHeight="1">
      <c r="A60" s="224" t="inlineStr">
        <is>
          <t xml:space="preserve">  Cho vay LNH secured (L1) đáo hạn</t>
        </is>
      </c>
      <c r="B60" s="220" t="n">
        <v>500</v>
      </c>
      <c r="C60" s="234" t="n">
        <v>1</v>
      </c>
      <c r="D60" s="224" t="inlineStr"/>
      <c r="E60" s="250">
        <f>B60*C60</f>
        <v/>
      </c>
      <c r="F60" s="225" t="inlineStr">
        <is>
          <t>Secured by L1: 100%</t>
        </is>
      </c>
      <c r="G60" s="122" t="n"/>
    </row>
    <row r="61" ht="18" customHeight="1">
      <c r="A61" s="219" t="inlineStr">
        <is>
          <t xml:space="preserve">  Cho vay LNH unsecured đáo hạn</t>
        </is>
      </c>
      <c r="B61" s="220" t="n">
        <v>800</v>
      </c>
      <c r="C61" s="234" t="n">
        <v>1</v>
      </c>
      <c r="D61" s="219" t="inlineStr"/>
      <c r="E61" s="250">
        <f>B61*C61</f>
        <v/>
      </c>
      <c r="F61" s="223" t="inlineStr">
        <is>
          <t>Unsecured to financial: 100%</t>
        </is>
      </c>
      <c r="G61" s="122" t="n"/>
    </row>
    <row r="62" ht="18" customHeight="1">
      <c r="A62" s="224" t="inlineStr">
        <is>
          <t xml:space="preserve">  Cho vay retail đáo hạn</t>
        </is>
      </c>
      <c r="B62" s="220" t="n">
        <v>400</v>
      </c>
      <c r="C62" s="234" t="n">
        <v>0.5</v>
      </c>
      <c r="D62" s="224" t="inlineStr"/>
      <c r="E62" s="250">
        <f>B62*C62</f>
        <v/>
      </c>
      <c r="F62" s="225" t="inlineStr">
        <is>
          <t>Retail loans: 50% (50% roll giả định)</t>
        </is>
      </c>
      <c r="G62" s="122" t="n"/>
    </row>
    <row r="63" ht="18" customHeight="1">
      <c r="A63" s="219" t="inlineStr">
        <is>
          <t xml:space="preserve">  Cho vay non-financial corp đáo hạn</t>
        </is>
      </c>
      <c r="B63" s="220" t="n">
        <v>600</v>
      </c>
      <c r="C63" s="234" t="n">
        <v>1</v>
      </c>
      <c r="D63" s="219" t="inlineStr"/>
      <c r="E63" s="250">
        <f>B63*C63</f>
        <v/>
      </c>
      <c r="F63" s="223" t="inlineStr">
        <is>
          <t>Performing loans: 100%</t>
        </is>
      </c>
      <c r="G63" s="122" t="n"/>
    </row>
    <row r="64" ht="18" customHeight="1">
      <c r="A64" s="224" t="inlineStr">
        <is>
          <t xml:space="preserve">  Thu lãi chứng khoán trong 30d</t>
        </is>
      </c>
      <c r="B64" s="220" t="n">
        <v>300</v>
      </c>
      <c r="C64" s="234" t="n">
        <v>1</v>
      </c>
      <c r="D64" s="224" t="inlineStr"/>
      <c r="E64" s="250">
        <f>B64*C64</f>
        <v/>
      </c>
      <c r="F64" s="225" t="inlineStr">
        <is>
          <t>Bond coupons: 100%</t>
        </is>
      </c>
      <c r="G64" s="122" t="n"/>
    </row>
    <row r="65" ht="18" customHeight="1">
      <c r="A65" s="219" t="inlineStr">
        <is>
          <t xml:space="preserve">  Inflow hợp đồng khác</t>
        </is>
      </c>
      <c r="B65" s="220" t="n">
        <v>200</v>
      </c>
      <c r="C65" s="234" t="n">
        <v>1</v>
      </c>
      <c r="D65" s="219" t="inlineStr"/>
      <c r="E65" s="250">
        <f>B65*C65</f>
        <v/>
      </c>
      <c r="F65" s="223" t="inlineStr">
        <is>
          <t>Other contractual: 100%</t>
        </is>
      </c>
      <c r="G65" s="122" t="n"/>
    </row>
    <row r="66" ht="20" customHeight="1">
      <c r="A66" s="251" t="inlineStr">
        <is>
          <t>Tổng inflows trước cap</t>
        </is>
      </c>
      <c r="B66" s="121" t="n"/>
      <c r="C66" s="121" t="n"/>
      <c r="D66" s="122" t="n"/>
      <c r="E66" s="250">
        <f>SUM(E60:E65)</f>
        <v/>
      </c>
      <c r="F66" s="252" t="inlineStr"/>
      <c r="G66" s="122" t="n"/>
    </row>
    <row r="67" ht="20" customHeight="1">
      <c r="A67" s="253" t="inlineStr">
        <is>
          <t>75% CAP = 75% × Gross Outflows  [công thức]</t>
        </is>
      </c>
      <c r="B67" s="121" t="n"/>
      <c r="C67" s="121" t="n"/>
      <c r="D67" s="122" t="n"/>
      <c r="E67" s="254">
        <f>E56*0.75</f>
        <v/>
      </c>
      <c r="F67" s="255" t="inlineStr">
        <is>
          <t>Basel III: inflows cannot exceed 75% of gross outflows</t>
        </is>
      </c>
      <c r="G67" s="122" t="n"/>
    </row>
    <row r="68" ht="26" customHeight="1">
      <c r="A68" s="256" t="inlineStr">
        <is>
          <t>TỔNG STRESS INFLOWS (sau cap 75%)  [công thức]</t>
        </is>
      </c>
      <c r="B68" s="121" t="n"/>
      <c r="C68" s="121" t="n"/>
      <c r="D68" s="122" t="n"/>
      <c r="E68" s="257">
        <f>MIN(E66,E67)</f>
        <v/>
      </c>
      <c r="F68" s="258">
        <f>IF(E66&gt;E67,"Cap da ap dung","Duoi cap — full inflow")</f>
        <v/>
      </c>
      <c r="G68" s="122" t="n"/>
    </row>
    <row r="70" ht="22" customHeight="1">
      <c r="A70" s="233" t="inlineStr">
        <is>
          <t>SECTION 4 — LCR CALCULATION &amp; RATIO  [tat ca la cong thuc]</t>
        </is>
      </c>
      <c r="B70" s="121" t="n"/>
      <c r="C70" s="121" t="n"/>
      <c r="D70" s="121" t="n"/>
      <c r="E70" s="121" t="n"/>
      <c r="F70" s="121" t="n"/>
      <c r="G70" s="121" t="n"/>
      <c r="H70" s="121" t="n"/>
      <c r="I70" s="121" t="n"/>
      <c r="J70" s="122" t="n"/>
    </row>
    <row r="71" ht="28" customHeight="1">
      <c r="A71" s="217" t="inlineStr">
        <is>
          <t>HQLA Adjusted (Section 1)</t>
        </is>
      </c>
      <c r="B71" s="121" t="n"/>
      <c r="C71" s="121" t="n"/>
      <c r="D71" s="122" t="n"/>
      <c r="E71" s="227">
        <f>E22</f>
        <v/>
      </c>
      <c r="F71" s="259" t="inlineStr"/>
      <c r="G71" s="122" t="n"/>
    </row>
    <row r="72" ht="28" customHeight="1">
      <c r="A72" s="260" t="inlineStr">
        <is>
          <t>Gross Cash Outflows (Section 2)</t>
        </is>
      </c>
      <c r="B72" s="121" t="n"/>
      <c r="C72" s="121" t="n"/>
      <c r="D72" s="122" t="n"/>
      <c r="E72" s="248">
        <f>E56</f>
        <v/>
      </c>
      <c r="F72" s="261" t="inlineStr"/>
      <c r="G72" s="122" t="n"/>
    </row>
    <row r="73" ht="28" customHeight="1">
      <c r="A73" s="262" t="inlineStr">
        <is>
          <t>Stress Inflows (Section 3, sau cap 75%)</t>
        </is>
      </c>
      <c r="B73" s="121" t="n"/>
      <c r="C73" s="121" t="n"/>
      <c r="D73" s="122" t="n"/>
      <c r="E73" s="257">
        <f>E68</f>
        <v/>
      </c>
      <c r="F73" s="263" t="inlineStr"/>
      <c r="G73" s="122" t="n"/>
    </row>
    <row r="74" ht="28" customHeight="1">
      <c r="A74" s="264" t="inlineStr">
        <is>
          <t>Net Cash Outflows (NCO) = Outflows − Inflows</t>
        </is>
      </c>
      <c r="B74" s="121" t="n"/>
      <c r="C74" s="121" t="n"/>
      <c r="D74" s="122" t="n"/>
      <c r="E74" s="239">
        <f>E56-E68</f>
        <v/>
      </c>
      <c r="F74" s="240" t="inlineStr"/>
      <c r="G74" s="122" t="n"/>
    </row>
    <row r="75" ht="28" customHeight="1">
      <c r="A75" s="265" t="inlineStr">
        <is>
          <t>LCR = HQLA / NCO</t>
        </is>
      </c>
      <c r="B75" s="121" t="n"/>
      <c r="C75" s="121" t="n"/>
      <c r="D75" s="122" t="n"/>
      <c r="E75" s="266">
        <f>IFERROR(E22/E74,"ERR")</f>
        <v/>
      </c>
      <c r="F75" s="267" t="inlineStr"/>
      <c r="G75" s="122" t="n"/>
    </row>
    <row r="76" ht="28" customHeight="1">
      <c r="A76" s="268" t="inlineStr">
        <is>
          <t>LCR (%)</t>
        </is>
      </c>
      <c r="B76" s="121" t="n"/>
      <c r="C76" s="121" t="n"/>
      <c r="D76" s="122" t="n"/>
      <c r="E76" s="269">
        <f>IFERROR(E22/E74*100,0)</f>
        <v/>
      </c>
      <c r="F76" s="267" t="inlineStr"/>
      <c r="G76" s="122" t="n"/>
    </row>
    <row r="77" ht="28" customHeight="1">
      <c r="A77" s="217" t="inlineStr">
        <is>
          <t>HQLA Surplus / (Shortfall)</t>
        </is>
      </c>
      <c r="B77" s="121" t="n"/>
      <c r="C77" s="121" t="n"/>
      <c r="D77" s="122" t="n"/>
      <c r="E77" s="270">
        <f>E22-E74</f>
        <v/>
      </c>
      <c r="F77" s="259" t="inlineStr"/>
      <c r="G77" s="122" t="n"/>
    </row>
    <row r="78" ht="28" customHeight="1">
      <c r="A78" s="271" t="inlineStr">
        <is>
          <t>Headroom above 100% minimum</t>
        </is>
      </c>
      <c r="B78" s="121" t="n"/>
      <c r="C78" s="121" t="n"/>
      <c r="D78" s="122" t="n"/>
      <c r="E78" s="272">
        <f>IFERROR(E76-100,0)</f>
        <v/>
      </c>
      <c r="F78" s="237" t="inlineStr"/>
      <c r="G78" s="122" t="n"/>
    </row>
    <row r="79" ht="28" customHeight="1">
      <c r="A79" s="273" t="inlineStr">
        <is>
          <t>STATUS</t>
        </is>
      </c>
      <c r="B79" s="121" t="n"/>
      <c r="C79" s="121" t="n"/>
      <c r="D79" s="122" t="n"/>
      <c r="E79" s="274">
        <f>IF(E76&gt;=120,"STRONG -- buffer tot",IF(E76&gt;=100,"OK -- tuan thu",IF(E76&gt;=85,"WATCH -- duoi minimum","BREACH -- hanh dong ngay")))</f>
        <v/>
      </c>
      <c r="F79" s="275" t="inlineStr"/>
      <c r="G79" s="122" t="n"/>
    </row>
    <row r="81" ht="22" customHeight="1">
      <c r="A81" s="233" t="inlineStr">
        <is>
          <t>SECTION 5 — WATERFALL: HQLA CONSUMPTION vs OUTFLOW STACK</t>
        </is>
      </c>
      <c r="B81" s="121" t="n"/>
      <c r="C81" s="121" t="n"/>
      <c r="D81" s="121" t="n"/>
      <c r="E81" s="121" t="n"/>
      <c r="F81" s="121" t="n"/>
      <c r="G81" s="121" t="n"/>
      <c r="H81" s="121" t="n"/>
      <c r="I81" s="121" t="n"/>
      <c r="J81" s="122" t="n"/>
    </row>
    <row r="82" ht="30" customHeight="1">
      <c r="A82" s="3" t="inlineStr">
        <is>
          <t>Lớp / Thành phần</t>
        </is>
      </c>
      <c r="B82" s="3" t="inlineStr">
        <is>
          <t>Giá trị
(tỷ)</t>
        </is>
      </c>
      <c r="C82" s="3" t="inlineStr">
        <is>
          <t>Cum. HQLA
(tỷ) [f]</t>
        </is>
      </c>
      <c r="D82" s="3" t="inlineStr">
        <is>
          <t>Cum. Outflow
(tỷ) [f]</t>
        </is>
      </c>
      <c r="E82" s="3" t="inlineStr">
        <is>
          <t>Gap = HQLA−Out
(tỷ) [f]</t>
        </is>
      </c>
      <c r="F82" s="3" t="inlineStr">
        <is>
          <t>Status [f]</t>
        </is>
      </c>
      <c r="G82" s="3" t="inlineStr">
        <is>
          <t>Ghi chú</t>
        </is>
      </c>
    </row>
    <row r="83" ht="18" customHeight="1">
      <c r="A83" s="219" t="inlineStr">
        <is>
          <t xml:space="preserve">  HQLA Level 1</t>
        </is>
      </c>
      <c r="B83" s="276">
        <f>D11</f>
        <v/>
      </c>
      <c r="C83" s="277">
        <f>B83</f>
        <v/>
      </c>
      <c r="D83" s="277">
        <f>0</f>
        <v/>
      </c>
      <c r="E83" s="278">
        <f>C83-D83</f>
        <v/>
      </c>
      <c r="F83" s="279">
        <f>IF(E83&gt;0,"COVERED","SHORTFALL")</f>
        <v/>
      </c>
      <c r="G83" s="223" t="inlineStr">
        <is>
          <t>Tien mat + TPCP + SBV</t>
        </is>
      </c>
    </row>
    <row r="84" ht="18" customHeight="1">
      <c r="A84" s="224" t="inlineStr">
        <is>
          <t xml:space="preserve">  HQLA Level 2A (cap)</t>
        </is>
      </c>
      <c r="B84" s="276">
        <f>E16</f>
        <v/>
      </c>
      <c r="C84" s="277">
        <f>C83+B84</f>
        <v/>
      </c>
      <c r="D84" s="277">
        <f>D83</f>
        <v/>
      </c>
      <c r="E84" s="278">
        <f>C84-D84</f>
        <v/>
      </c>
      <c r="F84" s="280">
        <f>IF(E84&gt;0,"COVERED","SHORTFALL")</f>
        <v/>
      </c>
      <c r="G84" s="225" t="inlineStr">
        <is>
          <t>Sau haircut 15% + cap 40%</t>
        </is>
      </c>
    </row>
    <row r="85" ht="18" customHeight="1">
      <c r="A85" s="219" t="inlineStr">
        <is>
          <t xml:space="preserve">  HQLA Level 2B (cap)</t>
        </is>
      </c>
      <c r="B85" s="276">
        <f>E21</f>
        <v/>
      </c>
      <c r="C85" s="277">
        <f>C84+B85</f>
        <v/>
      </c>
      <c r="D85" s="277">
        <f>D84</f>
        <v/>
      </c>
      <c r="E85" s="278">
        <f>C85-D85</f>
        <v/>
      </c>
      <c r="F85" s="279">
        <f>IF(E85&gt;0,"COVERED","SHORTFALL")</f>
        <v/>
      </c>
      <c r="G85" s="223" t="inlineStr">
        <is>
          <t>Sau haircut 25% + cap 15%</t>
        </is>
      </c>
    </row>
    <row r="86" ht="18" customHeight="1">
      <c r="A86" s="224" t="inlineStr">
        <is>
          <t xml:space="preserve">  Outflow: LNH unsecured</t>
        </is>
      </c>
      <c r="B86" s="235">
        <f>E48</f>
        <v/>
      </c>
      <c r="C86" s="277">
        <f>C85</f>
        <v/>
      </c>
      <c r="D86" s="277">
        <f>D85+ABS(B86)</f>
        <v/>
      </c>
      <c r="E86" s="278">
        <f>C86-D86</f>
        <v/>
      </c>
      <c r="F86" s="280">
        <f>IF(E86&gt;0,"COVERED","SHORTFALL")</f>
        <v/>
      </c>
      <c r="G86" s="225" t="inlineStr">
        <is>
          <t>100% runoff</t>
        </is>
      </c>
    </row>
    <row r="87" ht="18" customHeight="1">
      <c r="A87" s="219" t="inlineStr">
        <is>
          <t xml:space="preserve">  Outflow: Wholesale</t>
        </is>
      </c>
      <c r="B87" s="235">
        <f>E41</f>
        <v/>
      </c>
      <c r="C87" s="277">
        <f>C86</f>
        <v/>
      </c>
      <c r="D87" s="277">
        <f>D86+ABS(B87)</f>
        <v/>
      </c>
      <c r="E87" s="278">
        <f>C87-D87</f>
        <v/>
      </c>
      <c r="F87" s="279">
        <f>IF(E87&gt;0,"COVERED","SHORTFALL")</f>
        <v/>
      </c>
      <c r="G87" s="223" t="inlineStr">
        <is>
          <t>25–100% runoff</t>
        </is>
      </c>
    </row>
    <row r="88" ht="18" customHeight="1">
      <c r="A88" s="224" t="inlineStr">
        <is>
          <t xml:space="preserve">  Outflow: Retail</t>
        </is>
      </c>
      <c r="B88" s="235">
        <f>E33</f>
        <v/>
      </c>
      <c r="C88" s="277">
        <f>C87</f>
        <v/>
      </c>
      <c r="D88" s="277">
        <f>D87+ABS(B88)</f>
        <v/>
      </c>
      <c r="E88" s="278">
        <f>C88-D88</f>
        <v/>
      </c>
      <c r="F88" s="280">
        <f>IF(E88&gt;0,"COVERED","SHORTFALL")</f>
        <v/>
      </c>
      <c r="G88" s="225" t="inlineStr">
        <is>
          <t>3–10% runoff</t>
        </is>
      </c>
    </row>
    <row r="89" ht="18" customHeight="1">
      <c r="A89" s="219" t="inlineStr">
        <is>
          <t xml:space="preserve">  Outflow: OBS</t>
        </is>
      </c>
      <c r="B89" s="235">
        <f>E54</f>
        <v/>
      </c>
      <c r="C89" s="277">
        <f>C88</f>
        <v/>
      </c>
      <c r="D89" s="277">
        <f>D88+ABS(B89)</f>
        <v/>
      </c>
      <c r="E89" s="278">
        <f>C89-D89</f>
        <v/>
      </c>
      <c r="F89" s="279">
        <f>IF(E89&gt;0,"COVERED","SHORTFALL")</f>
        <v/>
      </c>
      <c r="G89" s="223" t="inlineStr">
        <is>
          <t>5–40% runoff</t>
        </is>
      </c>
    </row>
    <row r="90" ht="18" customHeight="1">
      <c r="A90" s="224" t="inlineStr">
        <is>
          <t xml:space="preserve">  (−) Inflows deducted</t>
        </is>
      </c>
      <c r="B90" s="235">
        <f>-E68</f>
        <v/>
      </c>
      <c r="C90" s="277">
        <f>C89</f>
        <v/>
      </c>
      <c r="D90" s="277">
        <f>D89+ABS(B90)</f>
        <v/>
      </c>
      <c r="E90" s="278">
        <f>C90-D90</f>
        <v/>
      </c>
      <c r="F90" s="280">
        <f>IF(E90&gt;0,"COVERED","SHORTFALL")</f>
        <v/>
      </c>
      <c r="G90" s="225" t="inlineStr">
        <is>
          <t>Cap 75% applied</t>
        </is>
      </c>
    </row>
    <row r="91" ht="26" customHeight="1">
      <c r="A91" s="217" t="inlineStr">
        <is>
          <t>NET: HQLA Surplus / (Shortfall) [cong thuc]</t>
        </is>
      </c>
      <c r="B91" s="121" t="n"/>
      <c r="C91" s="121" t="n"/>
      <c r="D91" s="122" t="n"/>
      <c r="E91" s="270">
        <f>E22-E74</f>
        <v/>
      </c>
      <c r="F91" s="226">
        <f>IFERROR("LCR = "&amp;TEXT(E76,"0.0")&amp;"%","")</f>
        <v/>
      </c>
      <c r="G91" s="122" t="n"/>
    </row>
    <row r="93" ht="22" customHeight="1">
      <c r="A93" s="233" t="inlineStr">
        <is>
          <t>SECTION 6 — SCENARIO SENSITIVITY  [tat ca la cong thuc]</t>
        </is>
      </c>
      <c r="B93" s="121" t="n"/>
      <c r="C93" s="121" t="n"/>
      <c r="D93" s="121" t="n"/>
      <c r="E93" s="121" t="n"/>
      <c r="F93" s="121" t="n"/>
      <c r="G93" s="121" t="n"/>
      <c r="H93" s="121" t="n"/>
      <c r="I93" s="121" t="n"/>
      <c r="J93" s="122" t="n"/>
    </row>
    <row r="94" ht="30" customHeight="1">
      <c r="A94" s="3" t="inlineStr">
        <is>
          <t>Kịch bản</t>
        </is>
      </c>
      <c r="B94" s="3" t="inlineStr">
        <is>
          <t>Outflow
mult [INPUT]</t>
        </is>
      </c>
      <c r="C94" s="3" t="inlineStr">
        <is>
          <t>Add OBS
(tỷ) [INPUT]</t>
        </is>
      </c>
      <c r="D94" s="3" t="inlineStr">
        <is>
          <t>Gross Out
stressed [f]</t>
        </is>
      </c>
      <c r="E94" s="3" t="inlineStr">
        <is>
          <t>HQLA
mult [INPUT]</t>
        </is>
      </c>
      <c r="F94" s="3" t="inlineStr">
        <is>
          <t>NCO
stressed [f]</t>
        </is>
      </c>
      <c r="G94" s="3" t="inlineStr">
        <is>
          <t>HQLA
stressed [f]</t>
        </is>
      </c>
      <c r="H94" s="3" t="inlineStr">
        <is>
          <t>LCR
% [f]</t>
        </is>
      </c>
      <c r="I94" s="3" t="inlineStr">
        <is>
          <t>Headroom
[f]</t>
        </is>
      </c>
      <c r="J94" s="3" t="inlineStr">
        <is>
          <t>Status [f]</t>
        </is>
      </c>
    </row>
    <row r="95" ht="22" customHeight="1">
      <c r="A95" s="281" t="inlineStr">
        <is>
          <t>Baseline</t>
        </is>
      </c>
      <c r="B95" s="282" t="n">
        <v>1</v>
      </c>
      <c r="C95" s="220" t="n">
        <v>0</v>
      </c>
      <c r="D95" s="235">
        <f>E56*B95+C95</f>
        <v/>
      </c>
      <c r="E95" s="282" t="n">
        <v>1</v>
      </c>
      <c r="F95" s="239">
        <f>D95-MIN(E66*0.8, D95*0.75)</f>
        <v/>
      </c>
      <c r="G95" s="227">
        <f>E22*E95</f>
        <v/>
      </c>
      <c r="H95" s="283">
        <f>IFERROR(G95/F95*100,0)</f>
        <v/>
      </c>
      <c r="I95" s="284">
        <f>H95-100</f>
        <v/>
      </c>
      <c r="J95" s="281">
        <f>IF(H95&gt;=120,"STRONG",IF(H95&gt;=100,"OK",IF(H95&gt;=85,"WATCH","BREACH")))</f>
        <v/>
      </c>
    </row>
    <row r="96" ht="22" customHeight="1">
      <c r="A96" s="285" t="inlineStr">
        <is>
          <t>Tight</t>
        </is>
      </c>
      <c r="B96" s="282" t="n">
        <v>1.15</v>
      </c>
      <c r="C96" s="220" t="n">
        <v>200</v>
      </c>
      <c r="D96" s="235">
        <f>E56*B96+C96</f>
        <v/>
      </c>
      <c r="E96" s="282" t="n">
        <v>1</v>
      </c>
      <c r="F96" s="239">
        <f>D96-MIN(E66*0.8, D96*0.75)</f>
        <v/>
      </c>
      <c r="G96" s="227">
        <f>E22*E96</f>
        <v/>
      </c>
      <c r="H96" s="286">
        <f>IFERROR(G96/F96*100,0)</f>
        <v/>
      </c>
      <c r="I96" s="287">
        <f>H96-100</f>
        <v/>
      </c>
      <c r="J96" s="285">
        <f>IF(H96&gt;=120,"STRONG",IF(H96&gt;=100,"OK",IF(H96&gt;=85,"WATCH","BREACH")))</f>
        <v/>
      </c>
    </row>
    <row r="97" ht="22" customHeight="1">
      <c r="A97" s="288" t="inlineStr">
        <is>
          <t>Stressed</t>
        </is>
      </c>
      <c r="B97" s="282" t="n">
        <v>1.35</v>
      </c>
      <c r="C97" s="220" t="n">
        <v>500</v>
      </c>
      <c r="D97" s="235">
        <f>E56*B97+C97</f>
        <v/>
      </c>
      <c r="E97" s="282" t="n">
        <v>0.95</v>
      </c>
      <c r="F97" s="239">
        <f>D97-MIN(E66*0.8, D97*0.75)</f>
        <v/>
      </c>
      <c r="G97" s="227">
        <f>E22*E97</f>
        <v/>
      </c>
      <c r="H97" s="289">
        <f>IFERROR(G97/F97*100,0)</f>
        <v/>
      </c>
      <c r="I97" s="287">
        <f>H97-100</f>
        <v/>
      </c>
      <c r="J97" s="288">
        <f>IF(H97&gt;=120,"STRONG",IF(H97&gt;=100,"OK",IF(H97&gt;=85,"WATCH","BREACH")))</f>
        <v/>
      </c>
    </row>
    <row r="98" ht="22" customHeight="1">
      <c r="A98" s="290" t="inlineStr">
        <is>
          <t>Severe</t>
        </is>
      </c>
      <c r="B98" s="282" t="n">
        <v>1.6</v>
      </c>
      <c r="C98" s="220" t="n">
        <v>1000</v>
      </c>
      <c r="D98" s="235">
        <f>E56*B98+C98</f>
        <v/>
      </c>
      <c r="E98" s="282" t="n">
        <v>0.8</v>
      </c>
      <c r="F98" s="239">
        <f>D98-MIN(E66*0.8, D98*0.75)</f>
        <v/>
      </c>
      <c r="G98" s="227">
        <f>E22*E98</f>
        <v/>
      </c>
      <c r="H98" s="291">
        <f>IFERROR(G98/F98*100,0)</f>
        <v/>
      </c>
      <c r="I98" s="287">
        <f>H98-100</f>
        <v/>
      </c>
      <c r="J98" s="290">
        <f>IF(H98&gt;=120,"STRONG",IF(H98&gt;=100,"OK",IF(H98&gt;=85,"WATCH","BREACH")))</f>
        <v/>
      </c>
    </row>
    <row r="100" ht="22" customHeight="1">
      <c r="A100" s="292">
        <f>IFERROR("HQLA Baseline: "&amp;TEXT(E22,"#,##0")&amp;" ty  |  NCO Baseline: "&amp;TEXT(E74,"#,##0")&amp;" ty  |  LCR Baseline: "&amp;TEXT(E76,"0.0")&amp;"%  |  Surplus: "&amp;TEXT(E77,"#,##0")&amp;" ty","")</f>
        <v/>
      </c>
      <c r="B100" s="121" t="n"/>
      <c r="C100" s="121" t="n"/>
      <c r="D100" s="121" t="n"/>
      <c r="E100" s="121" t="n"/>
      <c r="F100" s="121" t="n"/>
      <c r="G100" s="121" t="n"/>
      <c r="H100" s="121" t="n"/>
      <c r="I100" s="121" t="n"/>
      <c r="J100" s="122" t="n"/>
    </row>
    <row r="102">
      <c r="A102">
        <f>A95</f>
        <v/>
      </c>
      <c r="B102">
        <f>H95</f>
        <v/>
      </c>
      <c r="C102" t="n">
        <v>100</v>
      </c>
    </row>
    <row r="103">
      <c r="A103">
        <f>A96</f>
        <v/>
      </c>
      <c r="B103">
        <f>H96</f>
        <v/>
      </c>
      <c r="C103" t="n">
        <v>100</v>
      </c>
    </row>
    <row r="104">
      <c r="A104">
        <f>A97</f>
        <v/>
      </c>
      <c r="B104">
        <f>H97</f>
        <v/>
      </c>
      <c r="C104" t="n">
        <v>100</v>
      </c>
    </row>
    <row r="105">
      <c r="A105">
        <f>A98</f>
        <v/>
      </c>
      <c r="B105">
        <f>H98</f>
        <v/>
      </c>
      <c r="C105" t="n">
        <v>100</v>
      </c>
    </row>
  </sheetData>
  <mergeCells count="105">
    <mergeCell ref="F29:G29"/>
    <mergeCell ref="F16:G16"/>
    <mergeCell ref="G88"/>
    <mergeCell ref="F68:G68"/>
    <mergeCell ref="A72:D72"/>
    <mergeCell ref="A21:C21"/>
    <mergeCell ref="G90"/>
    <mergeCell ref="A93:J93"/>
    <mergeCell ref="A34:J34"/>
    <mergeCell ref="A73:D73"/>
    <mergeCell ref="F79:G79"/>
    <mergeCell ref="A49:J49"/>
    <mergeCell ref="A6:J6"/>
    <mergeCell ref="F72:G72"/>
    <mergeCell ref="A54:D54"/>
    <mergeCell ref="A41:D41"/>
    <mergeCell ref="G19"/>
    <mergeCell ref="F56:G56"/>
    <mergeCell ref="F71:G71"/>
    <mergeCell ref="F43:G43"/>
    <mergeCell ref="A56:D56"/>
    <mergeCell ref="G83"/>
    <mergeCell ref="A12:J12"/>
    <mergeCell ref="A33:D33"/>
    <mergeCell ref="G14"/>
    <mergeCell ref="F54:G54"/>
    <mergeCell ref="F63:G63"/>
    <mergeCell ref="A4:J4"/>
    <mergeCell ref="A81:J81"/>
    <mergeCell ref="F74:G74"/>
    <mergeCell ref="F30:G30"/>
    <mergeCell ref="A58:J58"/>
    <mergeCell ref="A48:D48"/>
    <mergeCell ref="F76:G76"/>
    <mergeCell ref="F33:G33"/>
    <mergeCell ref="F45:G45"/>
    <mergeCell ref="A24:J24"/>
    <mergeCell ref="F66:G66"/>
    <mergeCell ref="F75:G75"/>
    <mergeCell ref="A79:D79"/>
    <mergeCell ref="F47:G47"/>
    <mergeCell ref="G8"/>
    <mergeCell ref="F62:G62"/>
    <mergeCell ref="F31:G31"/>
    <mergeCell ref="F46:G46"/>
    <mergeCell ref="F28:G28"/>
    <mergeCell ref="G10"/>
    <mergeCell ref="G18"/>
    <mergeCell ref="F61:G61"/>
    <mergeCell ref="F39:G39"/>
    <mergeCell ref="F48:G48"/>
    <mergeCell ref="A74:D74"/>
    <mergeCell ref="A71:D71"/>
    <mergeCell ref="A2:J2"/>
    <mergeCell ref="F44:G44"/>
    <mergeCell ref="A42:J42"/>
    <mergeCell ref="A76:D76"/>
    <mergeCell ref="F64:G64"/>
    <mergeCell ref="A16:C16"/>
    <mergeCell ref="F73:G73"/>
    <mergeCell ref="A91:D91"/>
    <mergeCell ref="G20"/>
    <mergeCell ref="G84"/>
    <mergeCell ref="A68:D68"/>
    <mergeCell ref="F21:G21"/>
    <mergeCell ref="A77:D77"/>
    <mergeCell ref="A22:C22"/>
    <mergeCell ref="G86"/>
    <mergeCell ref="F36:G36"/>
    <mergeCell ref="F50:G50"/>
    <mergeCell ref="F91:G91"/>
    <mergeCell ref="A70:J70"/>
    <mergeCell ref="A78:D78"/>
    <mergeCell ref="G7"/>
    <mergeCell ref="F22:G22"/>
    <mergeCell ref="F77:G77"/>
    <mergeCell ref="F11:G11"/>
    <mergeCell ref="F78:G78"/>
    <mergeCell ref="A17:J17"/>
    <mergeCell ref="F65:G65"/>
    <mergeCell ref="A100:J100"/>
    <mergeCell ref="G85"/>
    <mergeCell ref="F40:G40"/>
    <mergeCell ref="G9"/>
    <mergeCell ref="A67:D67"/>
    <mergeCell ref="F51:G51"/>
    <mergeCell ref="F32:G32"/>
    <mergeCell ref="F41:G41"/>
    <mergeCell ref="F35:G35"/>
    <mergeCell ref="A1:J1"/>
    <mergeCell ref="F38:G38"/>
    <mergeCell ref="F27:G27"/>
    <mergeCell ref="F52:G52"/>
    <mergeCell ref="G13"/>
    <mergeCell ref="A66:D66"/>
    <mergeCell ref="F67:G67"/>
    <mergeCell ref="F37:G37"/>
    <mergeCell ref="A75:D75"/>
    <mergeCell ref="A11:C11"/>
    <mergeCell ref="G87"/>
    <mergeCell ref="F60:G60"/>
    <mergeCell ref="G15"/>
    <mergeCell ref="A26:J26"/>
    <mergeCell ref="G89"/>
    <mergeCell ref="F53:G5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2026-05-27T05:25:48Z</dcterms:created>
  <dcterms:modified xmlns:dcterms="http://purl.org/dc/terms/" xmlns:xsi="http://www.w3.org/2001/XMLSchema-instance" xsi:type="dcterms:W3CDTF">2026-05-27T05:54:33Z</dcterms:modified>
</cp:coreProperties>
</file>